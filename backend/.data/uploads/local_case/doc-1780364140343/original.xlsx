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activeTab="2"/>
  </bookViews>
  <sheets>
    <sheet name="问题清单" sheetId="12" r:id="rId1"/>
    <sheet name="1.内部控制管理方面" sheetId="13" r:id="rId2"/>
    <sheet name="2.预算编报方面" sheetId="18" r:id="rId3"/>
    <sheet name="3.采购管理" sheetId="4" r:id="rId4"/>
    <sheet name="4.采购管理执行S" sheetId="20" r:id="rId5"/>
    <sheet name="5.资产管理方面" sheetId="5" r:id="rId6"/>
    <sheet name="6.财务管理方面" sheetId="11" r:id="rId7"/>
    <sheet name="7.财务管理方面 S" sheetId="19" r:id="rId8"/>
    <sheet name="8.往来款挂账" sheetId="2" r:id="rId9"/>
    <sheet name="9.库存酒水清理S" sheetId="15" r:id="rId10"/>
    <sheet name="10.会计基础工作S" sheetId="21" r:id="rId11"/>
  </sheets>
  <definedNames>
    <definedName name="_xlnm.Print_Titles" localSheetId="0">问题清单!$1:$1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<sst xmlns="http://schemas.openxmlformats.org/spreadsheetml/2006/main" count="286" uniqueCount="92">
  <si>
    <t>序号</t>
  </si>
  <si>
    <t>问题</t>
  </si>
  <si>
    <t>描述</t>
  </si>
  <si>
    <t>违反条例</t>
  </si>
  <si>
    <t>证据</t>
  </si>
  <si>
    <t>审计工作底稿</t>
  </si>
  <si>
    <t>被 审 计 单 位 名 称：</t>
  </si>
  <si>
    <t>北京市市场监管发展研究中心</t>
  </si>
  <si>
    <t>编号：</t>
  </si>
  <si>
    <t>审    计    项    目：</t>
  </si>
  <si>
    <t>巡察财务审计</t>
  </si>
  <si>
    <t>审计人员：</t>
  </si>
  <si>
    <t>卫俊芳</t>
  </si>
  <si>
    <t>日期：</t>
  </si>
  <si>
    <t>第  页</t>
  </si>
  <si>
    <t>会计期间及会计截止日：</t>
  </si>
  <si>
    <t>2023年至2025年</t>
  </si>
  <si>
    <t>复核人员：</t>
  </si>
  <si>
    <t>张雨寒金爱英</t>
  </si>
  <si>
    <t>共  页</t>
  </si>
  <si>
    <t>问题摘要：内部控制体系文件不完整</t>
  </si>
  <si>
    <t xml:space="preserve">1.内部控制体系文件不完整，未及时更新。发展研究中心内部控制手册尚处于修订完善阶段，未能提供最新完整、统一、现行有效的内部控制手册，不利于全面核查内控流程、岗位职责、风险防控等体系建设及执行情况，内部控制资料支撑不足。
2.内部控制制度体系不健全，制度缺失。
现有内控制度不完整，单位层面未建立内部控制风险评估、内部控制体系监督评价相关制度；业务层面缺少差旅费、会议费、会务卡管理等制度，内控覆盖不全面，难以有效开展风险防控、监督评价及经费规范管理。
</t>
  </si>
  <si>
    <t>取证清单：</t>
  </si>
  <si>
    <t>《北京市市场监管发展研究中心财务制度汇编》</t>
  </si>
  <si>
    <t>被审计单位就问题真实性及有关数据准确性的核实意见：</t>
  </si>
  <si>
    <t>签字（盖章）：</t>
  </si>
  <si>
    <t>审计人员意见：</t>
  </si>
  <si>
    <t>不符合《行政事业单位内部控制规范》第七条  “单位应当根据本规范建立适合本单位实际情况的内部控制体系，并组织实施。具体工作包括梳理单位各类经济活动的业务流程，明确业务环节，系统分析经济活动风险，确定风险点，选择风险应对策略，在此基础上根据国家有关规定建立健全单位各项内部管理制度并督促相关工作人员认真执行”的规定。</t>
  </si>
  <si>
    <t>一是加快内部控制手册修订工作，明确修订节点与完成时限，尽快形成完整、规范、统一、可执行的内控手册并正式印发执行；二是对现有内控制度进行全面梳理，及时制定完善内部控制风险评估、内部控制体系监督评价、差旅费、会议费、会务卡管理等缺失制度，补齐制度短板，确保经费管理有章可循。</t>
  </si>
  <si>
    <t>问题摘要：政府采购预算编报不准确，导致预算执行率低</t>
  </si>
  <si>
    <t>发展研究中心“系统干部培训经费”编报不严谨，预算编报以“全员在外550元”为标准编制，但实际执行过程中未按照该标准落实，编报依据与实际执行情况脱节，导致政府采购预算实际执行率较低，2023年、2024年、2025年政府采购预算执行率分别为39.85%、13.08%、31%。</t>
  </si>
  <si>
    <t>2023年、2024年、2025年决算报表。</t>
  </si>
  <si>
    <t>不符合《事业单位财务规则》第十一条“事业单位应当严格执行批准的预算。预算执行中，国家对财政补助收入和财政专户管理资金的预算一般不予调剂，确需调剂的，由事业单位报主管部门审核后报财政部门调剂；其他资金确需调剂的，按照国家有关规定办理”的规定。</t>
  </si>
  <si>
    <t>优化预算编报依据，结合中心年度工作任务、人员配置、实际履职场景等因素，开展全面调研测算，确保预算编报贴合实际需求。</t>
  </si>
  <si>
    <t>问题摘要：采购管理内部控制执行不到位</t>
  </si>
  <si>
    <t xml:space="preserve">1.部分采购项目未按规定执行询比价采购方式。
发展研究中心在2023至2025年度项目采购中，存在19个1万元（含）以上项目未执行询比价采购方式，直接确定供应商情况。其中：2023年涉及5个项目，采购金额 400,054.24 元；2024年涉及2个项目，采购金额81,770元；2025年涉及12个项目，采购金额 873,015元，其中，与北京国润新通酒店管理有限责任公司阳光国润分公司直接签订4笔，涉及金额224390元。
2.采购评审程序不规范，询比价评审依据缺失。
在2024至2025年6个项目询比价采购中，未见采购需求文件或询价通知书，未明确成交原则、判定规则，评审过程缺少客观依据。其中：2024年度3个项目，涉及金额176,995元，2025年度，采用询比价方式采购的3个项目，涉及金额141,000元。
3.采购项目验收环节不合规。一是2025年与国家市场监督管理总局专业技术人才开发中心签订的“市场监管总局网络学院北京分院运营项目”的项目委托合同，合同金额299,750元，于2025年12月15日由苏琦签字验收通过，验收小组人数不足，未按规定成立不少于2人的内部验收小组；二是个别项目未按规定履行验收程序。2023年3笔维修项目共计22,430元，凭证后未附验收确认单，具体包括：3月1# 凭证中央空调维修费9,800元、6月4#凭证空调维修费5,030元、6月5#凭证空调水循环系统维修费7,600元；2024年涉及3笔共计15,000元，具体包括：4月19#支付中诚安管理咨询有限公司评审服务费5,000元，未附验收确认单。
4.选取不具备相应资质的服务商购买预算评审服务。
2024年4月19#支付中诚安管理咨询有限公司预算评审服务费5000元，经查该供应商的营业范围为“财务咨询(不得开展审计,验资,查账,评估,代理记账等需要审批的业务,不得出具相应的审计报告,验资报告,查账报告,评估报告等文字材料)”，不具备出具预算评审报告的相应资质。
</t>
  </si>
  <si>
    <t>1.2023、2024年、2025年合同台账及合同。
2.《北京市市场监管发展研究中心采购管理办法》
3.2025年“市场监管总局网络学院北京分院运营项目”验收报告
4.2023年3月1#、6月4#、6月5#、2024年4月19#、11月16#。
5.2024年4月19#会计凭证及查询营业范围。</t>
  </si>
  <si>
    <t>不符合《中华人民共和国政府采购法》第二十二条“供应商参加政府采购活动应当具备下列条件:（一）具有独立承担民事责任的能力；（二）具有良好的商业信誉和健全的财务会计制度”（三）具有履行合同所必需的设备和专业技术能力”第三十二条 “采购的货物规格、标准统一、现货货源充足且价格变化幅度小的政府采购项目，可以依照本法采用询价方式采购”《政府采购需求管理办法》（财库[2021]22号）第七条“采购需求应当明确采购标的需要实现的功能或目标，需满足的技术、商务要求”第十五条“采购需求应当作为确定采购项目、采购方式和采购文件编制的依据”《政府采购非招标采购方式管理办法》（财政部74号令）第十七条“询价通知书应当明确采购项目需求、供应商资格条件、报价要求、评定成交的标准等”《北京市市场监管发展研究中心采购管理办法》第二十四条“采购需求部门或归口管理部门应当成立不少于2人的验收小组，且采购执行与验收应当分离”《北京市财政预算评审管理实施细则》第十三条“财政部门开展财政预算评审时，可以委托有相关资质的中介机构、组织专家辅助工作的规定”的规定。</t>
  </si>
  <si>
    <t>修订政府采购管理办法，一是完善询比价采购管理相关内容，明确限额标准与采购方式适用情形，执行询比价程序；制定规范的询价通知书、采购需求模板，明确采购内容、技术要求、服务标准及评审流程；二是规范服务采购管理，在选取评审、咨询等专业服务机构时，认真核查供应商资质、执业资格及业务范围，确保服务商具备相应服务能力；三是规范服务采购管理，在选取评审、咨询等专业服务机构时，认真核查供应商资质、执业资格及业务范围，确保服务商具备相应服务能力</t>
  </si>
  <si>
    <t>问题摘要：</t>
  </si>
  <si>
    <t>采购管理内部控制执行不到位</t>
  </si>
  <si>
    <t>11月16#支付北京中普信华会计师事务所有限公司2笔共计10000元预算评审计费，未附验收确认单，且与北京中普信华会计师事务所有限公司签订两份评审业务合同，分别为《出版物印刷经费项目》和《国家市场监管总局网络学院北京分院运营服务项目》的评审业务，合同金额分别为5000元，可能存在拆分采购合同，未履行采购程序。</t>
  </si>
  <si>
    <t>2023年11月16#。</t>
  </si>
  <si>
    <t>问题摘要：固定资产管理不严谨，存在账实不符问题</t>
  </si>
  <si>
    <t>1.发展研究中心固定资产动态管理账实不符，部分资产使用信息不完整、不准确。
  如：资产编号0430042025000001-0430042025000006、TY2023000001、TY2022000001-TY2021000014-TY2021000043等66件资产，包括碎纸机、台式机等原值合计364150元，与实际使用信息不符，未准确登记使用人、存放地点等使用信息。
2.存在闲置资产，未及时进行处置
如：资产编号TY2019000006-TY2019000024等37件资产，包括：终端接入设备、交换机等资产原值376,402元，现存放于标准化大厦，处于闲置状态，但固定资产动态库信息仍显示在用，与实际不符。
3.个别资产超标准配置。
如：资产编号TY2019000001，资产名称：复印机1台，规格型号：HP激光A3 X3A66A E72535DN ，入账价值73857元；资产编号TY2023000001，资产名称：摄像机及配件，1台，规格型号：索尼z190v，入账价值33,648元，超出规定标准。
4.固定资产盘点工作不够规范，基础信息登记不完整。
发展研究中心固定资产盘点表填写不规范，其中使用部门、存放地点等关键基础信息均填写为原单位部门，未根据中心实际资产使用、存放情况更新完善，导致盘点表无法真实反映固定资产当前实际使用状态、归属部门及存放位置，账实衔接不畅。</t>
  </si>
  <si>
    <t>1.2025年固定资产动态库台账、2.2025年固定资产盘点表</t>
  </si>
  <si>
    <t xml:space="preserve">不符合《行政事业单位内部控制规范(试行)》第四十四条“单位应当加强对实物资产和无形资产的管理......(三）建立资产台账，加强资产的实物管理。单位应当定期清查盘点资产，确保账实相符。财会、资产管理、资产使用等部门或岗位应当定期对账，发现不符的，应当及时查明原因，并按照相关规定处理。(四)建立资产信息管理系统，做好资产的统计、报告、分析工作，实现对资产的动态管理””的规定。
不符合《行政事业单位办公设备配置标准表》（京财资产〔2019〕1128号附件）“复印机35000元/台、摄像机30000元/台”的规定。
</t>
  </si>
  <si>
    <t>完善资产动态信息和实物管理，明确资产编号、使用部门和管理部门责任，落实资产使用人在资产管理中的责任，保证资产清晰、完整，利于管理；对照实际资产使用情况，重新梳理固定资产信息，更正盘点表中使用部门、存放地点等错误信息，保证盘点表信息真实、完整、准确，实现账卡、账物、账账相符</t>
  </si>
  <si>
    <t>问题摘要：费用报销审批不严</t>
  </si>
  <si>
    <t>2023年8月31日19#凭证列支购培训班饮用水费用3,000元，报销单据中科室负责人与领用人为翟静波同一人，审批与领用监督制约不到位，不相容岗位未有效分离。</t>
  </si>
  <si>
    <t xml:space="preserve">1.2023年8月31日19#
</t>
  </si>
  <si>
    <t>不符合《会计基础工作规范》第四十八条“原始凭证的基本要求是：（一）原始凭证的内容必须具备：凭证的名称；填制凭证的日期；填制凭证单位名称或者填制人姓名；经办人员的签名或者盖章；接受凭证单位名称；经济业务内容；数量、单价和金额”的规定。</t>
  </si>
  <si>
    <t>补充完善该笔讲课费报销资料，补齐授课人员职务任职文件、职称证书或单位出具的身份资质证明，附入凭证归档。</t>
  </si>
  <si>
    <t>9笔行政事业单位公职人员领取讲课费</t>
  </si>
  <si>
    <t>记账凭证</t>
  </si>
  <si>
    <t>问题类型</t>
  </si>
  <si>
    <t>涉及金额（元）</t>
  </si>
  <si>
    <t>问题描述</t>
  </si>
  <si>
    <t>2023-3-3#</t>
  </si>
  <si>
    <t>培训课时费支出手续不齐全。讲课人员授课内容属于职权范围内的事项，发放标准政策依据不足。</t>
  </si>
  <si>
    <t>支付2022年统计分析培训班，授课时间2022年12月7日，陈晨，北京市统计局法规处副处长，授课学时1课时，实发金额500元；赖伟臣，北京市统计局设计管理处副处长，授课学时1课时，实发金额500元。</t>
  </si>
  <si>
    <t>2023-5-1#</t>
  </si>
  <si>
    <t>授课班次：2023年度食品安全检查员（生产领域）能力提升培训和抽查考试。2023年3月31日，曲传勇，国家市场总局食品生产司，二级调研员。实授课时4课时，实发金额2000元；李东卫，国家市场监管局网监司二级巡视员，实授课时3课时，实发金额3000元。</t>
  </si>
  <si>
    <t>费用报销审批不严</t>
  </si>
  <si>
    <t>2023-9-2#</t>
  </si>
  <si>
    <t>授课班次：2023年第六期“市场监管大讲堂”。2023年8月8日，李育平，国家市场监管总局规划司发展规划处处长，实授课时4课时，实发金额2000元。</t>
  </si>
  <si>
    <t>培训讲课费报销附件不完整，缺少授课人员资质证明材料（行政事业单位公职人员）。
2023年—2025年报销培训讲课费共计9笔、金额34,000元，报销凭证后均未附授课人员职称、职务任职文件、专业资质证书，发放标准依据不充分。</t>
  </si>
  <si>
    <t>2023-12-9#</t>
  </si>
  <si>
    <t>支付2023年9月至11月份专业班次培训授课教师讲课费，其中涉及部分讲师未附证明信息材料，讲课人员来自上级单位且授课内容属于职权范围内的事项，涉及“不得因履行本职工作额外取酬”
如：授课班次”2023年依法行政工作骨千培训班”，2023年9月5日，吴苗林，市司法局法治调研处处长，实授课时4课时，实发金额2000元。
授课班次:“全面优化营商环境助力企业高质量发展”专题培训班，9月26日，郭建广，市场监管总局登记注册局二级调研员，实授课时4课时，实发金额2000元。
授课班次:2023年全市特殊食品生产企业培训会，10月31日，宛超，市场总局特食司保健食品注册处处长，实授课时4课时 ，实发金额2000元。
授课班次:2023年北京市打击侵权假冒工作业务培训班，10月17日，韩尊亮，市场监管总局执法稽查局二级调研员，实授课时4课时，实发金额2000元。
授课班次“2023年公平竞争审查网络培训会”，10月19日，林迈，国家市场监督管理总局竞争政策协调司公平竞争审查处三级调研员，实授课时4课时，实发金额2000元。
授课班次“2023年新闻宣传培训班”，11月22日，徐建广，北京市委宣传部副部长北京市人民政府新闻办公室主任、市人民政府新闻发言人，实授课时4课时，实发金额4000元。</t>
  </si>
  <si>
    <t>2023-12-34#</t>
  </si>
  <si>
    <t>市局第三期优秀年轻干部培训班培训费，9月14日14点至17点，案例教学：市场秩序类典型案例分析，张晶，国家市场监管总局执法稽查局执法监督处处长，实发金额2000元</t>
  </si>
  <si>
    <t xml:space="preserve">
</t>
  </si>
  <si>
    <t>2.2023-3-3#、2023-5-1#、2023-9-2#、2023-12-9#、2023-12-34#、2024-10-3#、2024-11-6#、2025-3-3#、2025-6-2#</t>
  </si>
  <si>
    <t>2024-10-3#</t>
  </si>
  <si>
    <t>授课班次：2024年第三期食品安全检查员（C类）培训，2024年8月13日，宋玉红，国家市场监管总局食品经营司综合处二级调研员，实授课时4课时，实发金额2000元；
授课班次：2024年北京市打击侵权假冒工作业务培训，2024年9月6日，曹祎宇，国家市场监督管理总局双打督查联络处副处长，实授课时4课时，实发金额2000元；</t>
  </si>
  <si>
    <t>2024-11-6#</t>
  </si>
  <si>
    <t>授课班次：市局2024年履职能力提升培训班培训费，11月4日9点30至12点，卢雁，国家市场监督管理总局发展研究中心部门主任、处长，实授课时4课时，实发金额2000元</t>
  </si>
  <si>
    <t>2025-3-3#</t>
  </si>
  <si>
    <t>2025年2月19日，授课班次:《集贸市场计量监督管理办法》培训，郑华欣，市场监管总局计量司法制处处长，授课内容《集贸市场计量监督管理办法》，实授课时4课时，实发金额2000元。</t>
  </si>
  <si>
    <t>2025-6-2#</t>
  </si>
  <si>
    <t>2025年5月9日，授课班次:2025年第三期市场监管大讲堂，王琨，市场监管总局执法稽查局执法督查处副处长，授课内容《牢固树立监管为民理念纵深推进服务型执法》，实授课时4课时，实发金额2000元。</t>
  </si>
  <si>
    <t>问题摘要：往来款项未及时清理</t>
  </si>
  <si>
    <t>发展研究中心2025年末其他应收款存在长期挂账且无法收回的问题，挂账金额200000元，账龄已超过3年。该笔挂账资金系2013年6月、8月分两次支付给北京市工商行政管理局干部培训中心的借款，金额分别为150000元、50000元。经核查，北京市工商行政管理局干部培训中心已依据北京市编办京编办事[2014]97号文件批准，于2014年注销，导致该笔借款已无回收可能。发展研究中心分别于2016年7月7日向市局党组、2020年8月13日向市局科技与财务处提交了关于原市工商局干部培训中心借款请示，截至审计日，发展研究中心中心未对该笔无法收回的借款按规定计提坏账准备及进行核销处理。</t>
  </si>
  <si>
    <t>2025年科目余额表、2023年科目余额表、北京市市场监管发展研究中心资产清查专项审计报告、北京市工商行政管理局干部学校关于处理原市工商局干部培训中心借款的请示。</t>
  </si>
  <si>
    <t xml:space="preserve">不符合《政府会计制度》“1218其他应收款 四、事业单位应当于每年年末，对其他应收款进行全面检查，如发生不能收回的迹象，应当计提坏账准备。（一）对于账龄超过规定年限、确认无法收回的其他应收款，按照规定报经批准后予以核销。按照核销金额，借记“坏账准备”科目，贷记本科目。核销的其他应收款应当在备查簿中保留登记”《事业单位财务规则》“第五十条“事业单位应当对不同性质的负债分类管理，及时清理并按照规定办理结算，保证各项负债在规定期限内偿还”的规定。
</t>
  </si>
  <si>
    <t>建议结合前期已上报的请示材料，尽快向主管部门履行资产损失核销报批流程，待批复后及时完成账务核销处理，消化历史遗留往来挂账问题。</t>
  </si>
  <si>
    <t>历史遗留库存酒水仍未清理处置完成</t>
  </si>
  <si>
    <t>发展研究中心由于历史原因形成库存酒水共251瓶，价值92,920元。于2023年11月委托北京产权交易所对封存酒水进行评估、拍卖、回收，并将实物移交北京产权交易所。由于部分酒水因防伪标识存疑或过期等原因无法拍卖需销毁处理，于2024年7月22日向北京产权交易所有限公司发出《关于委托物资环保销毁的函》，请北京产权交易所有限公司对72瓶代做环保销毁处理；北京产权交易所有限公司于2024年7月22日已拍卖成功132瓶。剩余47瓶，经宏米平字[2024]第PX027号评估报告中确认评估价值1360元，于2024年11月20日，重新开展公开拍卖工作。但截至审计日，上述酒水拍卖处置工作仍在推进中，未处置完毕。</t>
  </si>
  <si>
    <t>1.关于酒水拍卖进展情况说明；2.拍卖酒水函；3.委托函；4.销毁明细表；5.资产明细表</t>
  </si>
  <si>
    <t>会计基础工作不规范位，存在凭证附件不全、档案未及时归档问题</t>
  </si>
  <si>
    <t>1.会计凭证附件资料不完整，原始依据不充分。
（1）固定资产入账原始资料缺失
2025年7月31日财20# 凭证记载，购入设备类固定资产入账金额24577元，该笔固定资产在办理入账核算时，仅直接进行账务处理，记账凭证后未附资产名称、规格型号、数量等相关资产信息资料，入账依据不完整。
（2）计提折旧未附原始依据
2025年1-12月计提固定资产折旧12笔，共98515.74元，凭证后无均未附折旧计算表、折旧清单等原始依据，仅直接进行账务处理，会计凭证附件不完整，无法完整反映折旧计算过程及依据。
3.会计档案未按规定及时整理装订归档。
截至审计日，发展研究中心2025年度会计凭证未完成装订及归档工作。</t>
  </si>
  <si>
    <t>1.2025年7月31日20#会计凭证
2.2025年1月13#、2月3#、3月27#、4月27#、5月19#、6月23#、7月21#、8月19#、9月31#、10月19#、11月24#、12月36#会计凭证
3.2025年度会计凭证。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</si>
</sst>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2"/>
      <name val="宋体"/>
      <charset val="134"/>
    </font>
    <font>
      <sz val="11"/>
      <name val="宋体"/>
      <charset val="134"/>
    </font>
    <font>
      <sz val="18"/>
      <name val="黑体"/>
      <charset val="134"/>
    </font>
    <font>
      <sz val="10"/>
      <name val="宋体"/>
      <charset val="134"/>
    </font>
    <font>
      <sz val="10"/>
      <name val="仿宋_GB2312"/>
      <charset val="134"/>
    </font>
    <font>
      <b/>
      <sz val="12"/>
      <color rgb="FFFF0000"/>
      <name val="宋体"/>
      <charset val="134"/>
    </font>
    <font>
      <b/>
      <sz val="11"/>
      <name val="宋体"/>
      <charset val="134"/>
    </font>
    <font>
      <sz val="11"/>
      <name val="黑体"/>
      <charset val="134"/>
    </font>
    <font>
      <sz val="11"/>
      <name val="仿宋_GB2312"/>
      <charset val="134"/>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1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1" applyNumberFormat="0" applyFill="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8" fillId="0" borderId="0" applyNumberFormat="0" applyFill="0" applyBorder="0" applyAlignment="0" applyProtection="0">
      <alignment vertical="center"/>
    </xf>
    <xf numFmtId="0" fontId="19" fillId="3" borderId="13" applyNumberFormat="0" applyAlignment="0" applyProtection="0">
      <alignment vertical="center"/>
    </xf>
    <xf numFmtId="0" fontId="20" fillId="4" borderId="14" applyNumberFormat="0" applyAlignment="0" applyProtection="0">
      <alignment vertical="center"/>
    </xf>
    <xf numFmtId="0" fontId="21" fillId="4" borderId="13" applyNumberFormat="0" applyAlignment="0" applyProtection="0">
      <alignment vertical="center"/>
    </xf>
    <xf numFmtId="0" fontId="22" fillId="5" borderId="15" applyNumberFormat="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79">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horizontal="center" vertical="center"/>
    </xf>
    <xf numFmtId="0" fontId="1" fillId="0" borderId="0" xfId="0" applyFont="1" applyFill="1" applyAlignment="1">
      <alignment horizontal="left" vertical="center"/>
    </xf>
    <xf numFmtId="0" fontId="1" fillId="0" borderId="0" xfId="0" applyFont="1" applyFill="1" applyAlignment="1">
      <alignment horizontal="center" vertical="center"/>
    </xf>
    <xf numFmtId="49" fontId="1" fillId="0" borderId="0" xfId="0" applyNumberFormat="1" applyFont="1" applyFill="1" applyAlignment="1">
      <alignment horizontal="left" vertical="center"/>
    </xf>
    <xf numFmtId="14" fontId="1" fillId="0" borderId="0" xfId="0" applyNumberFormat="1" applyFont="1" applyFill="1" applyAlignment="1">
      <alignment horizontal="left" vertical="center"/>
    </xf>
    <xf numFmtId="0" fontId="1" fillId="0" borderId="0" xfId="0" applyFont="1" applyFill="1" applyAlignment="1">
      <alignment horizontal="left" vertical="center" wrapText="1"/>
    </xf>
    <xf numFmtId="0" fontId="1"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2" fillId="0" borderId="0" xfId="0" applyFont="1" applyFill="1" applyAlignment="1">
      <alignment vertical="center" wrapText="1"/>
    </xf>
    <xf numFmtId="31" fontId="2" fillId="0" borderId="4" xfId="0" applyNumberFormat="1" applyFont="1" applyFill="1" applyBorder="1" applyAlignment="1">
      <alignment horizontal="left" vertical="top" wrapText="1"/>
    </xf>
    <xf numFmtId="31" fontId="2" fillId="0" borderId="0" xfId="0" applyNumberFormat="1" applyFont="1" applyFill="1" applyAlignment="1">
      <alignment horizontal="left" vertical="top" wrapText="1"/>
    </xf>
    <xf numFmtId="31" fontId="2" fillId="0" borderId="5" xfId="0" applyNumberFormat="1" applyFont="1" applyFill="1" applyBorder="1" applyAlignment="1">
      <alignment horizontal="left" vertical="top" wrapText="1"/>
    </xf>
    <xf numFmtId="0" fontId="4" fillId="0" borderId="1" xfId="0" applyFont="1" applyFill="1" applyBorder="1" applyAlignment="1">
      <alignment horizontal="left" vertical="top"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2" fillId="0" borderId="9" xfId="0" applyFont="1" applyFill="1" applyBorder="1" applyAlignment="1">
      <alignment horizontal="left" vertical="top" wrapText="1"/>
    </xf>
    <xf numFmtId="0" fontId="2" fillId="0" borderId="0" xfId="0" applyFont="1" applyFill="1" applyAlignment="1">
      <alignment horizontal="left" vertical="center" wrapText="1"/>
    </xf>
    <xf numFmtId="0" fontId="1" fillId="0" borderId="6" xfId="0" applyFont="1" applyFill="1" applyBorder="1" applyAlignment="1">
      <alignment horizontal="left" vertical="top" wrapText="1"/>
    </xf>
    <xf numFmtId="0" fontId="1" fillId="0" borderId="7"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0" borderId="9" xfId="0" applyFont="1" applyFill="1" applyBorder="1" applyAlignment="1">
      <alignment horizontal="left" vertical="center"/>
    </xf>
    <xf numFmtId="0" fontId="1" fillId="0" borderId="9" xfId="0" applyFont="1" applyFill="1" applyBorder="1" applyAlignment="1">
      <alignment horizontal="center" vertical="center"/>
    </xf>
    <xf numFmtId="49" fontId="1" fillId="0" borderId="9" xfId="0" applyNumberFormat="1" applyFont="1" applyFill="1" applyBorder="1" applyAlignment="1">
      <alignment horizontal="left" vertical="center"/>
    </xf>
    <xf numFmtId="14" fontId="1" fillId="0" borderId="9" xfId="0" applyNumberFormat="1" applyFont="1" applyFill="1" applyBorder="1" applyAlignment="1">
      <alignment horizontal="left" vertical="center"/>
    </xf>
    <xf numFmtId="0" fontId="1" fillId="0" borderId="9" xfId="0" applyFont="1" applyFill="1" applyBorder="1" applyAlignment="1">
      <alignment horizontal="left" vertical="center" wrapText="1"/>
    </xf>
    <xf numFmtId="0" fontId="6" fillId="0" borderId="0" xfId="0" applyFont="1" applyFill="1" applyAlignment="1">
      <alignment horizontal="center" vertical="center"/>
    </xf>
    <xf numFmtId="0" fontId="2" fillId="0" borderId="0" xfId="0" applyFont="1" applyFill="1" applyAlignment="1">
      <alignment horizontal="center" vertical="center"/>
    </xf>
    <xf numFmtId="0" fontId="2" fillId="0" borderId="9" xfId="0" applyFont="1" applyFill="1" applyBorder="1" applyAlignment="1">
      <alignment horizontal="center" vertical="center"/>
    </xf>
    <xf numFmtId="0" fontId="7" fillId="0" borderId="9" xfId="0" applyFont="1" applyFill="1" applyBorder="1" applyAlignment="1">
      <alignment horizontal="center" vertical="center"/>
    </xf>
    <xf numFmtId="0" fontId="2" fillId="0" borderId="9" xfId="0" applyFont="1" applyFill="1" applyBorder="1" applyAlignment="1">
      <alignment vertical="center" wrapText="1"/>
    </xf>
    <xf numFmtId="0" fontId="1" fillId="0" borderId="0" xfId="0" applyFont="1" applyFill="1" applyAlignment="1">
      <alignment vertical="top" wrapText="1"/>
    </xf>
    <xf numFmtId="0" fontId="2" fillId="0" borderId="9" xfId="0" applyFont="1" applyFill="1" applyBorder="1" applyAlignment="1">
      <alignment vertical="center"/>
    </xf>
    <xf numFmtId="31" fontId="2" fillId="0" borderId="0" xfId="0" applyNumberFormat="1" applyFont="1" applyFill="1" applyBorder="1" applyAlignment="1">
      <alignment horizontal="left" vertical="top" wrapText="1"/>
    </xf>
    <xf numFmtId="0" fontId="1" fillId="0" borderId="0" xfId="0" applyFont="1" applyFill="1" applyAlignment="1">
      <alignment vertical="center" wrapText="1"/>
    </xf>
    <xf numFmtId="0" fontId="8" fillId="0" borderId="0" xfId="0" applyFont="1" applyFill="1" applyAlignment="1">
      <alignment horizontal="center" vertical="center"/>
    </xf>
    <xf numFmtId="0" fontId="2" fillId="0" borderId="9" xfId="0" applyFont="1" applyFill="1" applyBorder="1" applyAlignment="1">
      <alignment horizontal="left" vertical="center"/>
    </xf>
    <xf numFmtId="49" fontId="2" fillId="0" borderId="9" xfId="0" applyNumberFormat="1" applyFont="1" applyFill="1" applyBorder="1" applyAlignment="1">
      <alignment horizontal="left" vertical="center"/>
    </xf>
    <xf numFmtId="14" fontId="2" fillId="0" borderId="9" xfId="0" applyNumberFormat="1" applyFont="1" applyFill="1" applyBorder="1" applyAlignment="1">
      <alignment horizontal="left" vertical="center"/>
    </xf>
    <xf numFmtId="0" fontId="2" fillId="0" borderId="9"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 xfId="0" applyFont="1" applyFill="1" applyBorder="1" applyAlignment="1">
      <alignment horizontal="left" vertical="top"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0" xfId="0" applyFont="1" applyFill="1" applyAlignment="1">
      <alignment vertical="top" wrapText="1"/>
    </xf>
    <xf numFmtId="0" fontId="3" fillId="0" borderId="9" xfId="0" applyFont="1" applyFill="1" applyBorder="1" applyAlignment="1">
      <alignment horizontal="center" vertical="center"/>
    </xf>
    <xf numFmtId="0" fontId="1" fillId="0" borderId="0" xfId="0" applyFont="1" applyFill="1" applyBorder="1" applyAlignment="1">
      <alignment vertical="center"/>
    </xf>
    <xf numFmtId="31" fontId="2" fillId="0" borderId="9" xfId="0" applyNumberFormat="1" applyFont="1" applyFill="1" applyBorder="1" applyAlignment="1">
      <alignment horizontal="left" vertical="top" wrapText="1"/>
    </xf>
    <xf numFmtId="31" fontId="2" fillId="0" borderId="9" xfId="0" applyNumberFormat="1" applyFont="1" applyFill="1" applyBorder="1" applyAlignment="1">
      <alignment horizontal="left" vertical="top" wrapText="1"/>
    </xf>
    <xf numFmtId="31" fontId="2" fillId="0" borderId="0" xfId="0" applyNumberFormat="1" applyFont="1" applyFill="1" applyBorder="1" applyAlignment="1">
      <alignment horizontal="left" vertical="top" wrapText="1"/>
    </xf>
    <xf numFmtId="0" fontId="4" fillId="0" borderId="9" xfId="0" applyFont="1" applyFill="1" applyBorder="1" applyAlignment="1">
      <alignment horizontal="left" vertical="top" wrapText="1"/>
    </xf>
    <xf numFmtId="0" fontId="5" fillId="0" borderId="9"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4" fillId="0" borderId="9" xfId="0" applyFont="1" applyFill="1" applyBorder="1" applyAlignment="1">
      <alignment horizontal="left" vertical="center" wrapText="1"/>
    </xf>
    <xf numFmtId="0" fontId="2" fillId="0" borderId="9" xfId="0" applyFont="1" applyFill="1" applyBorder="1" applyAlignment="1">
      <alignment horizontal="left" vertical="center" wrapText="1"/>
    </xf>
    <xf numFmtId="0" fontId="10" fillId="0" borderId="0" xfId="0" applyFont="1" applyFill="1" applyAlignment="1">
      <alignment horizontal="center"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4" fillId="0" borderId="0" xfId="0" applyFont="1" applyFill="1" applyAlignment="1">
      <alignment horizontal="left" vertical="center" wrapText="1"/>
    </xf>
    <xf numFmtId="0" fontId="6" fillId="0" borderId="9" xfId="0" applyFont="1" applyFill="1" applyBorder="1" applyAlignment="1">
      <alignment horizontal="center" vertical="center" wrapText="1"/>
    </xf>
    <xf numFmtId="0" fontId="4" fillId="0" borderId="9"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7"/>
  <sheetViews>
    <sheetView workbookViewId="0">
      <selection activeCell="D2" sqref="D2"/>
    </sheetView>
  </sheetViews>
  <sheetFormatPr defaultColWidth="9.34545454545455" defaultRowHeight="13" outlineLevelRow="6" outlineLevelCol="4"/>
  <cols>
    <col min="1" max="1" width="6.81818181818182" style="75" customWidth="1"/>
    <col min="2" max="2" width="24.8909090909091" style="76" customWidth="1"/>
    <col min="3" max="3" width="64.1272727272727" style="76" customWidth="1"/>
    <col min="4" max="4" width="44.8090909090909" style="74" customWidth="1"/>
    <col min="5" max="5" width="28.3545454545455" style="74" customWidth="1"/>
    <col min="6" max="16384" width="9.34545454545455" style="74"/>
  </cols>
  <sheetData>
    <row r="1" s="73" customFormat="1" ht="54" customHeight="1" spans="1:5">
      <c r="A1" s="77" t="s">
        <v>0</v>
      </c>
      <c r="B1" s="77" t="s">
        <v>1</v>
      </c>
      <c r="C1" s="77" t="s">
        <v>2</v>
      </c>
      <c r="D1" s="77" t="s">
        <v>3</v>
      </c>
      <c r="E1" s="77" t="s">
        <v>4</v>
      </c>
    </row>
    <row r="2" s="74" customFormat="1" ht="126" customHeight="1" spans="1:5">
      <c r="A2" s="78">
        <v>1</v>
      </c>
      <c r="B2" s="71" t="str">
        <f>'1.内部控制管理方面'!A5</f>
        <v>问题摘要：内部控制体系文件不完整</v>
      </c>
      <c r="C2" s="71" t="str">
        <f>'1.内部控制管理方面'!A6</f>
        <v>1.内部控制体系文件不完整，未及时更新。发展研究中心内部控制手册尚处于修订完善阶段，未能提供最新完整、统一、现行有效的内部控制手册，不利于全面核查内控流程、岗位职责、风险防控等体系建设及执行情况，内部控制资料支撑不足。
2.内部控制制度体系不健全，制度缺失。
现有内控制度不完整，单位层面未建立内部控制风险评估、内部控制体系监督评价相关制度；业务层面缺少差旅费、会议费、会务卡管理等制度，内控覆盖不全面，难以有效开展风险防控、监督评价及经费规范管理。
</v>
      </c>
      <c r="D2" s="71" t="str">
        <f>'1.内部控制管理方面'!A12</f>
        <v>不符合《行政事业单位内部控制规范》第七条  “单位应当根据本规范建立适合本单位实际情况的内部控制体系，并组织实施。具体工作包括梳理单位各类经济活动的业务流程，明确业务环节，系统分析经济活动风险，确定风险点，选择风险应对策略，在此基础上根据国家有关规定建立健全单位各项内部管理制度并督促相关工作人员认真执行”的规定。</v>
      </c>
      <c r="E2" s="71" t="str">
        <f>'1.内部控制管理方面'!A8</f>
        <v>《北京市市场监管发展研究中心财务制度汇编》</v>
      </c>
    </row>
    <row r="3" s="74" customFormat="1" ht="79" customHeight="1" spans="1:5">
      <c r="A3" s="78">
        <v>2</v>
      </c>
      <c r="B3" s="71" t="str">
        <f>'2.预算编报方面'!A5</f>
        <v>问题摘要：政府采购预算编报不准确，导致预算执行率低</v>
      </c>
      <c r="C3" s="71" t="str">
        <f>'2.预算编报方面'!A6</f>
        <v>发展研究中心“系统干部培训经费”编报不严谨，预算编报以“全员在外550元”为标准编制，但实际执行过程中未按照该标准落实，编报依据与实际执行情况脱节，导致政府采购预算实际执行率较低，2023年、2024年、2025年政府采购预算执行率分别为39.85%、13.08%、31%。</v>
      </c>
      <c r="D3" s="71" t="str">
        <f>'2.预算编报方面'!A12</f>
        <v>不符合《事业单位财务规则》第十一条“事业单位应当严格执行批准的预算。预算执行中，国家对财政补助收入和财政专户管理资金的预算一般不予调剂，确需调剂的，由事业单位报主管部门审核后报财政部门调剂；其他资金确需调剂的，按照国家有关规定办理”的规定。</v>
      </c>
      <c r="E3" s="71" t="str">
        <f>'2.预算编报方面'!A8</f>
        <v>2023年、2024年、2025年决算报表。</v>
      </c>
    </row>
    <row r="4" s="74" customFormat="1" ht="316" customHeight="1" spans="1:5">
      <c r="A4" s="78">
        <v>3</v>
      </c>
      <c r="B4" s="71" t="str">
        <f>'3.采购管理'!A5</f>
        <v>问题摘要：采购管理内部控制执行不到位</v>
      </c>
      <c r="C4" s="71" t="str">
        <f>'3.采购管理'!A6</f>
        <v>1.部分采购项目未按规定执行询比价采购方式。
发展研究中心在2023至2025年度项目采购中，存在19个1万元（含）以上项目未执行询比价采购方式，直接确定供应商情况。其中：2023年涉及5个项目，采购金额 400,054.24 元；2024年涉及2个项目，采购金额81,770元；2025年涉及12个项目，采购金额 873,015元，其中，与北京国润新通酒店管理有限责任公司阳光国润分公司直接签订4笔，涉及金额224390元。
2.采购评审程序不规范，询比价评审依据缺失。
在2024至2025年6个项目询比价采购中，未见采购需求文件或询价通知书，未明确成交原则、判定规则，评审过程缺少客观依据。其中：2024年度3个项目，涉及金额176,995元，2025年度，采用询比价方式采购的3个项目，涉及金额141,000元。
3.采购项目验收环节不合规。一是2025年与国家市场监督管理总局专业技术人才开发中心签订的“市场监管总局网络学院北京分院运营项目”的项目委托合同，合同金额299,750元，于2025年12月15日由苏琦签字验收通过，验收小组人数不足，未按规定成立不少于2人的内部验收小组；二是个别项目未按规定履行验收程序。2023年3笔维修项目共计22,430元，凭证后未附验收确认单，具体包括：3月1# 凭证中央空调维修费9,800元、6月4#凭证空调维修费5,030元、6月5#凭证空调水循环系统维修费7,600元；2024年涉及3笔共计15,000元，具体包括：4月19#支付中诚安管理咨询有限公司评审服务费5,000元，未附验收确认单。
4.选取不具备相应资质的服务商购买预算评审服务。
2024年4月19#支付中诚安管理咨询有限公司预算评审服务费5000元，经查该供应商的营业范围为“财务咨询(不得开展审计,验资,查账,评估,代理记账等需要审批的业务,不得出具相应的审计报告,验资报告,查账报告,评估报告等文字材料)”，不具备出具预算评审报告的相应资质。
</v>
      </c>
      <c r="D4" s="71" t="str">
        <f>'3.采购管理'!A12</f>
        <v>不符合《中华人民共和国政府采购法》第二十二条“供应商参加政府采购活动应当具备下列条件:（一）具有独立承担民事责任的能力；（二）具有良好的商业信誉和健全的财务会计制度”（三）具有履行合同所必需的设备和专业技术能力”第三十二条 “采购的货物规格、标准统一、现货货源充足且价格变化幅度小的政府采购项目，可以依照本法采用询价方式采购”《政府采购需求管理办法》（财库[2021]22号）第七条“采购需求应当明确采购标的需要实现的功能或目标，需满足的技术、商务要求”第十五条“采购需求应当作为确定采购项目、采购方式和采购文件编制的依据”《政府采购非招标采购方式管理办法》（财政部74号令）第十七条“询价通知书应当明确采购项目需求、供应商资格条件、报价要求、评定成交的标准等”《北京市市场监管发展研究中心采购管理办法》第二十四条“采购需求部门或归口管理部门应当成立不少于2人的验收小组，且采购执行与验收应当分离”《北京市财政预算评审管理实施细则》第十三条“财政部门开展财政预算评审时，可以委托有相关资质的中介机构、组织专家辅助工作的规定”的规定。</v>
      </c>
      <c r="E4" s="71" t="str">
        <f>'3.采购管理'!A8</f>
        <v>1.2023、2024年、2025年合同台账及合同。
2.《北京市市场监管发展研究中心采购管理办法》
3.2025年“市场监管总局网络学院北京分院运营项目”验收报告
4.2023年3月1#、6月4#、6月5#、2024年4月19#、11月16#。
5.2024年4月19#会计凭证及查询营业范围。</v>
      </c>
    </row>
    <row r="5" s="74" customFormat="1" ht="253" customHeight="1" spans="1:5">
      <c r="A5" s="78">
        <v>4</v>
      </c>
      <c r="B5" s="71" t="str">
        <f>'5.资产管理方面'!A5</f>
        <v>问题摘要：固定资产管理不严谨，存在账实不符问题</v>
      </c>
      <c r="C5" s="71" t="str">
        <f>'5.资产管理方面'!A6</f>
        <v>1.发展研究中心固定资产动态管理账实不符，部分资产使用信息不完整、不准确。
  如：资产编号0430042025000001-0430042025000006、TY2023000001、TY2022000001-TY2021000014-TY2021000043等66件资产，包括碎纸机、台式机等原值合计364150元，与实际使用信息不符，未准确登记使用人、存放地点等使用信息。
2.存在闲置资产，未及时进行处置
如：资产编号TY2019000006-TY2019000024等37件资产，包括：终端接入设备、交换机等资产原值376,402元，现存放于标准化大厦，处于闲置状态，但固定资产动态库信息仍显示在用，与实际不符。
3.个别资产超标准配置。
如：资产编号TY2019000001，资产名称：复印机1台，规格型号：HP激光A3 X3A66A E72535DN ，入账价值73857元；资产编号TY2023000001，资产名称：摄像机及配件，1台，规格型号：索尼z190v，入账价值33,648元，超出规定标准。
4.固定资产盘点工作不够规范，基础信息登记不完整。
发展研究中心固定资产盘点表填写不规范，其中使用部门、存放地点等关键基础信息均填写为原单位部门，未根据中心实际资产使用、存放情况更新完善，导致盘点表无法真实反映固定资产当前实际使用状态、归属部门及存放位置，账实衔接不畅。</v>
      </c>
      <c r="D5" s="71" t="str">
        <f>'5.资产管理方面'!A12</f>
        <v>不符合《行政事业单位内部控制规范(试行)》第四十四条“单位应当加强对实物资产和无形资产的管理......(三）建立资产台账，加强资产的实物管理。单位应当定期清查盘点资产，确保账实相符。财会、资产管理、资产使用等部门或岗位应当定期对账，发现不符的，应当及时查明原因，并按照相关规定处理。(四)建立资产信息管理系统，做好资产的统计、报告、分析工作，实现对资产的动态管理””的规定。
不符合《行政事业单位办公设备配置标准表》（京财资产〔2019〕1128号附件）“复印机35000元/台、摄像机30000元/台”的规定。
</v>
      </c>
      <c r="E5" s="71" t="str">
        <f>'5.资产管理方面'!A8</f>
        <v>1.2025年固定资产动态库台账、2.2025年固定资产盘点表</v>
      </c>
    </row>
    <row r="6" s="74" customFormat="1" ht="93" customHeight="1" spans="1:5">
      <c r="A6" s="78">
        <v>5</v>
      </c>
      <c r="B6" s="71" t="str">
        <f>'6.财务管理方面'!A5</f>
        <v>问题摘要：费用报销审批不严</v>
      </c>
      <c r="C6" s="71" t="str">
        <f>'6.财务管理方面'!A6</f>
        <v>2023年8月31日19#凭证列支购培训班饮用水费用3,000元，报销单据中科室负责人与领用人为翟静波同一人，审批与领用监督制约不到位，不相容岗位未有效分离。</v>
      </c>
      <c r="D6" s="71" t="str">
        <f>'6.财务管理方面'!A12</f>
        <v>不符合《会计基础工作规范》第四十八条“原始凭证的基本要求是：（一）原始凭证的内容必须具备：凭证的名称；填制凭证的日期；填制凭证单位名称或者填制人姓名；经办人员的签名或者盖章；接受凭证单位名称；经济业务内容；数量、单价和金额”的规定。</v>
      </c>
      <c r="E6" s="71" t="str">
        <f>'6.财务管理方面'!A8</f>
        <v>1.2023年8月31日19#
</v>
      </c>
    </row>
    <row r="7" s="74" customFormat="1" ht="126" customHeight="1" spans="1:5">
      <c r="A7" s="78">
        <v>6</v>
      </c>
      <c r="B7" s="71" t="str">
        <f>'8.往来款挂账'!A5</f>
        <v>问题摘要：往来款项未及时清理</v>
      </c>
      <c r="C7" s="71" t="str">
        <f>'8.往来款挂账'!A6</f>
        <v>发展研究中心2025年末其他应收款存在长期挂账且无法收回的问题，挂账金额200000元，账龄已超过3年。该笔挂账资金系2013年6月、8月分两次支付给北京市工商行政管理局干部培训中心的借款，金额分别为150000元、50000元。经核查，北京市工商行政管理局干部培训中心已依据北京市编办京编办事[2014]97号文件批准，于2014年注销，导致该笔借款已无回收可能。发展研究中心分别于2016年7月7日向市局党组、2020年8月13日向市局科技与财务处提交了关于原市工商局干部培训中心借款请示，截至审计日，发展研究中心中心未对该笔无法收回的借款按规定计提坏账准备及进行核销处理。</v>
      </c>
      <c r="D7" s="71" t="str">
        <f>'8.往来款挂账'!A11</f>
        <v>不符合《政府会计制度》“1218其他应收款 四、事业单位应当于每年年末，对其他应收款进行全面检查，如发生不能收回的迹象，应当计提坏账准备。（一）对于账龄超过规定年限、确认无法收回的其他应收款，按照规定报经批准后予以核销。按照核销金额，借记“坏账准备”科目，贷记本科目。核销的其他应收款应当在备查簿中保留登记”《事业单位财务规则》“第五十条“事业单位应当对不同性质的负债分类管理，及时清理并按照规定办理结算，保证各项负债在规定期限内偿还”的规定。
</v>
      </c>
      <c r="E7" s="71" t="str">
        <f>'8.往来款挂账'!A8</f>
        <v>2025年科目余额表、2023年科目余额表、北京市市场监管发展研究中心资产清查专项审计报告、北京市工商行政管理局干部学校关于处理原市工商局干部培训中心借款的请示。</v>
      </c>
    </row>
  </sheetData>
  <pageMargins left="0.751388888888889" right="0.751388888888889" top="1" bottom="1" header="0.5" footer="0.5"/>
  <pageSetup paperSize="9" scale="78"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3"/>
  <sheetViews>
    <sheetView workbookViewId="0">
      <selection activeCell="K13" sqref="K13"/>
    </sheetView>
  </sheetViews>
  <sheetFormatPr defaultColWidth="9.81818181818182" defaultRowHeight="38" customHeight="1" outlineLevelCol="6"/>
  <cols>
    <col min="1" max="1" width="24.2181818181818" style="1" customWidth="1"/>
    <col min="2" max="2" width="20.5090909090909" style="1" customWidth="1"/>
    <col min="3" max="3" width="10.9090909090909" style="1" customWidth="1"/>
    <col min="4" max="4" width="8.03636363636364" style="1" customWidth="1"/>
    <col min="5" max="5" width="6.32727272727273" style="1" customWidth="1"/>
    <col min="6" max="6" width="10.4727272727273" style="1" customWidth="1"/>
    <col min="7" max="7" width="8.72727272727273" style="1" customWidth="1"/>
    <col min="8" max="16384" width="9.81818181818182" style="1"/>
  </cols>
  <sheetData>
    <row r="1" s="1" customFormat="1" customHeight="1" spans="1:7">
      <c r="A1" s="63" t="s">
        <v>5</v>
      </c>
      <c r="B1" s="63"/>
      <c r="C1" s="63"/>
      <c r="D1" s="63"/>
      <c r="E1" s="63"/>
      <c r="F1" s="63"/>
      <c r="G1" s="63"/>
    </row>
    <row r="2" s="1" customFormat="1" customHeight="1" spans="1:7">
      <c r="A2" s="34" t="s">
        <v>6</v>
      </c>
      <c r="B2" s="34" t="s">
        <v>7</v>
      </c>
      <c r="C2" s="34"/>
      <c r="D2" s="34"/>
      <c r="E2" s="35" t="s">
        <v>8</v>
      </c>
      <c r="F2" s="35"/>
      <c r="G2" s="36"/>
    </row>
    <row r="3" s="1" customFormat="1" customHeight="1" spans="1:7">
      <c r="A3" s="34" t="s">
        <v>9</v>
      </c>
      <c r="B3" s="34" t="s">
        <v>10</v>
      </c>
      <c r="C3" s="34" t="s">
        <v>11</v>
      </c>
      <c r="D3" s="34" t="s">
        <v>12</v>
      </c>
      <c r="E3" s="34" t="s">
        <v>13</v>
      </c>
      <c r="F3" s="37">
        <v>46132</v>
      </c>
      <c r="G3" s="34" t="s">
        <v>14</v>
      </c>
    </row>
    <row r="4" s="1" customFormat="1" customHeight="1" spans="1:7">
      <c r="A4" s="34" t="s">
        <v>15</v>
      </c>
      <c r="B4" s="34" t="s">
        <v>16</v>
      </c>
      <c r="C4" s="34" t="s">
        <v>17</v>
      </c>
      <c r="D4" s="38" t="s">
        <v>18</v>
      </c>
      <c r="E4" s="34" t="s">
        <v>13</v>
      </c>
      <c r="F4" s="37">
        <f>F3+1</f>
        <v>46133</v>
      </c>
      <c r="G4" s="34" t="s">
        <v>19</v>
      </c>
    </row>
    <row r="5" s="1" customFormat="1" customHeight="1" spans="1:7">
      <c r="A5" s="38" t="s">
        <v>20</v>
      </c>
      <c r="B5" s="38"/>
      <c r="C5" s="38"/>
      <c r="D5" s="38"/>
      <c r="E5" s="38"/>
      <c r="F5" s="38"/>
      <c r="G5" s="38"/>
    </row>
    <row r="6" s="1" customFormat="1" ht="104" customHeight="1" spans="1:7">
      <c r="A6" s="65" t="s">
        <v>21</v>
      </c>
      <c r="B6" s="66"/>
      <c r="C6" s="66"/>
      <c r="D6" s="66"/>
      <c r="E6" s="66"/>
      <c r="F6" s="66"/>
      <c r="G6" s="65"/>
    </row>
    <row r="7" s="1" customFormat="1" customHeight="1" spans="1:7">
      <c r="A7" s="68" t="s">
        <v>22</v>
      </c>
      <c r="B7" s="69"/>
      <c r="C7" s="69"/>
      <c r="D7" s="69"/>
      <c r="E7" s="69"/>
      <c r="F7" s="69"/>
      <c r="G7" s="69"/>
    </row>
    <row r="8" s="1" customFormat="1" ht="28" customHeight="1" spans="1:7">
      <c r="A8" s="28" t="s">
        <v>23</v>
      </c>
      <c r="B8" s="28"/>
      <c r="C8" s="28"/>
      <c r="D8" s="28"/>
      <c r="E8" s="28"/>
      <c r="F8" s="28"/>
      <c r="G8" s="28"/>
    </row>
    <row r="9" s="1" customFormat="1" customHeight="1" spans="1:7">
      <c r="A9" s="38" t="s">
        <v>24</v>
      </c>
      <c r="B9" s="38"/>
      <c r="C9" s="38"/>
      <c r="D9" s="38"/>
      <c r="E9" s="38"/>
      <c r="F9" s="38"/>
      <c r="G9" s="38"/>
    </row>
    <row r="10" s="1" customFormat="1" customHeight="1" spans="1:7">
      <c r="A10" s="70" t="s">
        <v>25</v>
      </c>
      <c r="B10" s="70"/>
      <c r="C10" s="70"/>
      <c r="D10" s="70"/>
      <c r="E10" s="70"/>
      <c r="F10" s="70"/>
      <c r="G10" s="70"/>
    </row>
    <row r="11" s="1" customFormat="1" ht="27" customHeight="1" spans="1:7">
      <c r="A11" s="71" t="s">
        <v>26</v>
      </c>
      <c r="B11" s="71"/>
      <c r="C11" s="71"/>
      <c r="D11" s="71"/>
      <c r="E11" s="71"/>
      <c r="F11" s="71"/>
      <c r="G11" s="71"/>
    </row>
    <row r="12" s="2" customFormat="1" ht="65" customHeight="1" spans="1:7">
      <c r="A12" s="28" t="s">
        <v>27</v>
      </c>
      <c r="B12" s="28"/>
      <c r="C12" s="28"/>
      <c r="D12" s="28"/>
      <c r="E12" s="28"/>
      <c r="F12" s="28"/>
      <c r="G12" s="28"/>
    </row>
    <row r="13" s="2" customFormat="1" ht="66" customHeight="1" spans="1:7">
      <c r="A13" s="72" t="s">
        <v>28</v>
      </c>
      <c r="B13" s="72"/>
      <c r="C13" s="72"/>
      <c r="D13" s="72"/>
      <c r="E13" s="72"/>
      <c r="F13" s="72"/>
      <c r="G13" s="72"/>
    </row>
  </sheetData>
  <mergeCells count="11">
    <mergeCell ref="A1:G1"/>
    <mergeCell ref="E2:F2"/>
    <mergeCell ref="A5:G5"/>
    <mergeCell ref="A6:G6"/>
    <mergeCell ref="B7:G7"/>
    <mergeCell ref="A8:G8"/>
    <mergeCell ref="A9:G9"/>
    <mergeCell ref="A10:G10"/>
    <mergeCell ref="A11:G11"/>
    <mergeCell ref="A12:G12"/>
    <mergeCell ref="A13:G13"/>
  </mergeCells>
  <pageMargins left="0.75" right="0.75" top="1" bottom="1" header="0.5" footer="0.5"/>
  <pageSetup paperSize="9" scale="98"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
  <sheetViews>
    <sheetView tabSelected="1" workbookViewId="0">
      <selection activeCell="I9" sqref="I9"/>
    </sheetView>
  </sheetViews>
  <sheetFormatPr defaultColWidth="9.81818181818182" defaultRowHeight="15"/>
  <cols>
    <col min="1" max="1" width="24.2181818181818" style="1" customWidth="1"/>
    <col min="2" max="2" width="19.2727272727273" style="1" customWidth="1"/>
    <col min="3" max="3" width="10.9090909090909" style="1" customWidth="1"/>
    <col min="4" max="4" width="8.03636363636364" style="1" customWidth="1"/>
    <col min="5" max="5" width="6.32727272727273" style="1" customWidth="1"/>
    <col min="6" max="6" width="11.7272727272727" style="1" customWidth="1"/>
    <col min="7" max="7" width="7.09090909090909" style="1" customWidth="1"/>
    <col min="8" max="9" width="9.81818181818182" style="1"/>
    <col min="10" max="16" width="9.81818181818182" style="1" customWidth="1"/>
    <col min="17" max="16384" width="9.81818181818182" style="1"/>
  </cols>
  <sheetData>
    <row r="1" s="1" customFormat="1" ht="43.05" customHeight="1" spans="1:16">
      <c r="A1" s="63" t="s">
        <v>5</v>
      </c>
      <c r="B1" s="63"/>
      <c r="C1" s="63"/>
      <c r="D1" s="63"/>
      <c r="E1" s="63"/>
      <c r="F1" s="63"/>
      <c r="G1" s="63"/>
    </row>
    <row r="2" s="1" customFormat="1" ht="40" customHeight="1" spans="1:16">
      <c r="A2" s="34" t="s">
        <v>6</v>
      </c>
      <c r="B2" s="34" t="s">
        <v>7</v>
      </c>
      <c r="C2" s="34"/>
      <c r="D2" s="34"/>
      <c r="E2" s="35" t="s">
        <v>8</v>
      </c>
      <c r="F2" s="35"/>
      <c r="G2" s="36"/>
    </row>
    <row r="3" s="1" customFormat="1" ht="33" customHeight="1" spans="1:16">
      <c r="A3" s="34" t="s">
        <v>9</v>
      </c>
      <c r="B3" s="34" t="s">
        <v>10</v>
      </c>
      <c r="C3" s="34" t="s">
        <v>11</v>
      </c>
      <c r="D3" s="34" t="s">
        <v>12</v>
      </c>
      <c r="E3" s="34" t="s">
        <v>13</v>
      </c>
      <c r="F3" s="37">
        <v>46132</v>
      </c>
      <c r="G3" s="34" t="s">
        <v>14</v>
      </c>
    </row>
    <row r="4" s="1" customFormat="1" ht="33" customHeight="1" spans="1:16">
      <c r="A4" s="34" t="s">
        <v>15</v>
      </c>
      <c r="B4" s="34" t="s">
        <v>16</v>
      </c>
      <c r="C4" s="34" t="s">
        <v>17</v>
      </c>
      <c r="D4" s="38" t="s">
        <v>18</v>
      </c>
      <c r="E4" s="34" t="s">
        <v>13</v>
      </c>
      <c r="F4" s="37">
        <f>F3+1</f>
        <v>46133</v>
      </c>
      <c r="G4" s="34" t="s">
        <v>19</v>
      </c>
    </row>
    <row r="5" s="1" customFormat="1" ht="42" customHeight="1" spans="1:16">
      <c r="A5" s="38" t="s">
        <v>29</v>
      </c>
      <c r="B5" s="38"/>
      <c r="C5" s="38"/>
      <c r="D5" s="38"/>
      <c r="E5" s="38"/>
      <c r="F5" s="38"/>
      <c r="G5" s="38"/>
      <c r="I5" s="64"/>
      <c r="J5" s="64"/>
      <c r="K5" s="64"/>
      <c r="L5" s="64"/>
      <c r="M5" s="64"/>
      <c r="N5" s="64"/>
      <c r="O5" s="64"/>
      <c r="P5" s="64"/>
    </row>
    <row r="6" s="1" customFormat="1" ht="63" customHeight="1" spans="1:16">
      <c r="A6" s="65" t="s">
        <v>30</v>
      </c>
      <c r="B6" s="66"/>
      <c r="C6" s="66"/>
      <c r="D6" s="66"/>
      <c r="E6" s="66"/>
      <c r="F6" s="66"/>
      <c r="G6" s="65"/>
      <c r="I6" s="64"/>
      <c r="J6" s="46"/>
      <c r="K6" s="67"/>
      <c r="L6" s="67"/>
      <c r="M6" s="67"/>
      <c r="N6" s="67"/>
      <c r="O6" s="67"/>
      <c r="P6" s="46"/>
    </row>
    <row r="7" s="1" customFormat="1" ht="22" customHeight="1" spans="1:16">
      <c r="A7" s="68" t="s">
        <v>22</v>
      </c>
      <c r="B7" s="69"/>
      <c r="C7" s="69"/>
      <c r="D7" s="69"/>
      <c r="E7" s="69"/>
      <c r="F7" s="69"/>
      <c r="G7" s="69"/>
      <c r="I7" s="64"/>
      <c r="J7" s="64"/>
      <c r="K7" s="64"/>
      <c r="L7" s="64"/>
      <c r="M7" s="64"/>
      <c r="N7" s="64"/>
      <c r="O7" s="64"/>
      <c r="P7" s="64"/>
    </row>
    <row r="8" s="1" customFormat="1" ht="30" customHeight="1" spans="1:16">
      <c r="A8" s="28" t="s">
        <v>31</v>
      </c>
      <c r="B8" s="28"/>
      <c r="C8" s="28"/>
      <c r="D8" s="28"/>
      <c r="E8" s="28"/>
      <c r="F8" s="28"/>
      <c r="G8" s="28"/>
    </row>
    <row r="9" s="1" customFormat="1" ht="30" customHeight="1" spans="1:16">
      <c r="A9" s="38" t="s">
        <v>24</v>
      </c>
      <c r="B9" s="38"/>
      <c r="C9" s="38"/>
      <c r="D9" s="38"/>
      <c r="E9" s="38"/>
      <c r="F9" s="38"/>
      <c r="G9" s="38"/>
    </row>
    <row r="10" s="1" customFormat="1" ht="26" customHeight="1" spans="1:16">
      <c r="A10" s="70" t="s">
        <v>25</v>
      </c>
      <c r="B10" s="70"/>
      <c r="C10" s="70"/>
      <c r="D10" s="70"/>
      <c r="E10" s="70"/>
      <c r="F10" s="70"/>
      <c r="G10" s="70"/>
    </row>
    <row r="11" s="1" customFormat="1" ht="27" customHeight="1" spans="1:16">
      <c r="A11" s="71" t="s">
        <v>26</v>
      </c>
      <c r="B11" s="71"/>
      <c r="C11" s="71"/>
      <c r="D11" s="71"/>
      <c r="E11" s="71"/>
      <c r="F11" s="71"/>
      <c r="G11" s="71"/>
    </row>
    <row r="12" s="2" customFormat="1" ht="51" customHeight="1" spans="1:16">
      <c r="A12" s="28" t="s">
        <v>32</v>
      </c>
      <c r="B12" s="28"/>
      <c r="C12" s="28"/>
      <c r="D12" s="28"/>
      <c r="E12" s="28"/>
      <c r="F12" s="28"/>
      <c r="G12" s="28"/>
    </row>
    <row r="13" s="2" customFormat="1" ht="52" customHeight="1" spans="1:16">
      <c r="A13" s="72" t="s">
        <v>33</v>
      </c>
      <c r="B13" s="72"/>
      <c r="C13" s="72"/>
      <c r="D13" s="72"/>
      <c r="E13" s="72"/>
      <c r="F13" s="72"/>
      <c r="G13" s="72"/>
    </row>
  </sheetData>
  <mergeCells count="12">
    <mergeCell ref="A1:G1"/>
    <mergeCell ref="E2:F2"/>
    <mergeCell ref="A5:G5"/>
    <mergeCell ref="A6:G6"/>
    <mergeCell ref="J6:P6"/>
    <mergeCell ref="B7:G7"/>
    <mergeCell ref="A8:G8"/>
    <mergeCell ref="A9:G9"/>
    <mergeCell ref="A10:G10"/>
    <mergeCell ref="A11:G11"/>
    <mergeCell ref="A12:G12"/>
    <mergeCell ref="A13:G13"/>
  </mergeCells>
  <pageMargins left="0.75" right="0.75" top="1" bottom="1" header="0.5" footer="0.5"/>
  <pageSetup paperSize="9" fitToHeight="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8"/>
    <pageSetUpPr fitToPage="1"/>
  </sheetPr>
  <dimension ref="A1:P13"/>
  <sheetViews>
    <sheetView zoomScale="110" zoomScaleNormal="110" topLeftCell="A6" workbookViewId="0">
      <selection activeCell="A13" sqref="A13:G13"/>
    </sheetView>
  </sheetViews>
  <sheetFormatPr defaultColWidth="9.81818181818182" defaultRowHeight="15"/>
  <cols>
    <col min="1" max="1" width="24.2181818181818" style="1" customWidth="1"/>
    <col min="2" max="2" width="20.5090909090909" style="1" customWidth="1"/>
    <col min="3" max="3" width="10.9090909090909" style="1" customWidth="1"/>
    <col min="4" max="4" width="8.03636363636364" style="1" customWidth="1"/>
    <col min="5" max="5" width="6.32727272727273" style="1" customWidth="1"/>
    <col min="6" max="6" width="10.4727272727273" style="1" customWidth="1"/>
    <col min="7" max="7" width="6.98181818181818" style="1" customWidth="1"/>
    <col min="8" max="9" width="9.81818181818182" style="1"/>
    <col min="10" max="16" width="9.81818181818182" style="1" customWidth="1"/>
    <col min="17" max="16384" width="9.81818181818182" style="1"/>
  </cols>
  <sheetData>
    <row r="1" s="1" customFormat="1" ht="43.05" customHeight="1" spans="1:16">
      <c r="A1" s="3" t="s">
        <v>5</v>
      </c>
      <c r="B1" s="3"/>
      <c r="C1" s="3"/>
      <c r="D1" s="3"/>
      <c r="E1" s="3"/>
      <c r="F1" s="3"/>
      <c r="G1" s="3"/>
    </row>
    <row r="2" s="1" customFormat="1" ht="33" customHeight="1" spans="1:16">
      <c r="A2" s="34" t="s">
        <v>6</v>
      </c>
      <c r="B2" s="34" t="s">
        <v>7</v>
      </c>
      <c r="C2" s="34"/>
      <c r="D2" s="34"/>
      <c r="E2" s="35" t="s">
        <v>8</v>
      </c>
      <c r="F2" s="35"/>
      <c r="G2" s="36"/>
    </row>
    <row r="3" s="1" customFormat="1" ht="33" customHeight="1" spans="1:16">
      <c r="A3" s="34" t="s">
        <v>9</v>
      </c>
      <c r="B3" s="34" t="s">
        <v>10</v>
      </c>
      <c r="C3" s="34" t="s">
        <v>11</v>
      </c>
      <c r="D3" s="34" t="s">
        <v>12</v>
      </c>
      <c r="E3" s="34" t="s">
        <v>13</v>
      </c>
      <c r="F3" s="37">
        <v>46129</v>
      </c>
      <c r="G3" s="34" t="s">
        <v>14</v>
      </c>
    </row>
    <row r="4" s="1" customFormat="1" ht="33" customHeight="1" spans="1:16">
      <c r="A4" s="34" t="s">
        <v>15</v>
      </c>
      <c r="B4" s="34" t="s">
        <v>16</v>
      </c>
      <c r="C4" s="34" t="s">
        <v>17</v>
      </c>
      <c r="D4" s="38" t="s">
        <v>18</v>
      </c>
      <c r="E4" s="34" t="s">
        <v>13</v>
      </c>
      <c r="F4" s="37">
        <f>F3+1</f>
        <v>46130</v>
      </c>
      <c r="G4" s="34" t="s">
        <v>19</v>
      </c>
    </row>
    <row r="5" s="1" customFormat="1" ht="33" customHeight="1" spans="1:16">
      <c r="A5" s="9" t="s">
        <v>34</v>
      </c>
      <c r="B5" s="10"/>
      <c r="C5" s="10"/>
      <c r="D5" s="10"/>
      <c r="E5" s="10"/>
      <c r="F5" s="10"/>
      <c r="G5" s="11"/>
    </row>
    <row r="6" s="1" customFormat="1" ht="278" customHeight="1" spans="1:16">
      <c r="A6" s="13" t="s">
        <v>35</v>
      </c>
      <c r="B6" s="14"/>
      <c r="C6" s="14"/>
      <c r="D6" s="14"/>
      <c r="E6" s="14"/>
      <c r="F6" s="14"/>
      <c r="G6" s="15"/>
      <c r="J6" s="13"/>
      <c r="K6" s="14"/>
      <c r="L6" s="14"/>
      <c r="M6" s="14"/>
      <c r="N6" s="14"/>
      <c r="O6" s="14"/>
      <c r="P6" s="15"/>
    </row>
    <row r="7" s="1" customFormat="1" customHeight="1" spans="1:16">
      <c r="A7" s="16" t="s">
        <v>22</v>
      </c>
      <c r="B7" s="17"/>
      <c r="C7" s="17"/>
      <c r="D7" s="17"/>
      <c r="E7" s="17"/>
      <c r="F7" s="17"/>
      <c r="G7" s="18"/>
    </row>
    <row r="8" s="1" customFormat="1" ht="75" customHeight="1" spans="1:16">
      <c r="A8" s="19" t="s">
        <v>36</v>
      </c>
      <c r="B8" s="20"/>
      <c r="C8" s="20"/>
      <c r="D8" s="20"/>
      <c r="E8" s="20"/>
      <c r="F8" s="20"/>
      <c r="G8" s="21"/>
    </row>
    <row r="9" s="1" customFormat="1" ht="25.05" customHeight="1" spans="1:16">
      <c r="A9" s="9" t="s">
        <v>24</v>
      </c>
      <c r="B9" s="10"/>
      <c r="C9" s="10"/>
      <c r="D9" s="10"/>
      <c r="E9" s="10"/>
      <c r="F9" s="10"/>
      <c r="G9" s="11"/>
    </row>
    <row r="10" s="1" customFormat="1" ht="26" customHeight="1" spans="1:16">
      <c r="A10" s="22" t="s">
        <v>25</v>
      </c>
      <c r="B10" s="23"/>
      <c r="C10" s="23"/>
      <c r="D10" s="23"/>
      <c r="E10" s="23"/>
      <c r="F10" s="23"/>
      <c r="G10" s="24"/>
    </row>
    <row r="11" s="1" customFormat="1" ht="22" customHeight="1" spans="1:16">
      <c r="A11" s="25" t="s">
        <v>26</v>
      </c>
      <c r="B11" s="26"/>
      <c r="C11" s="26"/>
      <c r="D11" s="26"/>
      <c r="E11" s="26"/>
      <c r="F11" s="26"/>
      <c r="G11" s="27"/>
    </row>
    <row r="12" s="1" customFormat="1" ht="154" customHeight="1" spans="1:16">
      <c r="A12" s="28" t="s">
        <v>37</v>
      </c>
      <c r="B12" s="28"/>
      <c r="C12" s="28"/>
      <c r="D12" s="28"/>
      <c r="E12" s="28"/>
      <c r="F12" s="28"/>
      <c r="G12" s="28"/>
    </row>
    <row r="13" ht="68" customHeight="1" spans="1:16">
      <c r="A13" s="29" t="s">
        <v>38</v>
      </c>
      <c r="B13" s="29"/>
      <c r="C13" s="29"/>
      <c r="D13" s="29"/>
      <c r="E13" s="29"/>
      <c r="F13" s="29"/>
      <c r="G13" s="29"/>
    </row>
  </sheetData>
  <mergeCells count="12">
    <mergeCell ref="A1:G1"/>
    <mergeCell ref="E2:F2"/>
    <mergeCell ref="A5:G5"/>
    <mergeCell ref="A6:G6"/>
    <mergeCell ref="J6:P6"/>
    <mergeCell ref="B7:G7"/>
    <mergeCell ref="A8:G8"/>
    <mergeCell ref="A9:G9"/>
    <mergeCell ref="A10:G10"/>
    <mergeCell ref="A11:G11"/>
    <mergeCell ref="A12:G12"/>
    <mergeCell ref="A13:G13"/>
  </mergeCells>
  <pageMargins left="0.75" right="0.75" top="1" bottom="1" header="0.5" footer="0.5"/>
  <pageSetup paperSize="9" scale="50"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P13"/>
  <sheetViews>
    <sheetView zoomScale="110" zoomScaleNormal="110" workbookViewId="0">
      <selection activeCell="A6" sqref="A6:G6"/>
    </sheetView>
  </sheetViews>
  <sheetFormatPr defaultColWidth="9.81818181818182" defaultRowHeight="15"/>
  <cols>
    <col min="1" max="1" width="24.2181818181818" style="1" customWidth="1"/>
    <col min="2" max="2" width="20.5090909090909" style="1" customWidth="1"/>
    <col min="3" max="3" width="10.9090909090909" style="1" customWidth="1"/>
    <col min="4" max="4" width="8.03636363636364" style="1" customWidth="1"/>
    <col min="5" max="5" width="6.32727272727273" style="1" customWidth="1"/>
    <col min="6" max="6" width="10.4727272727273" style="1" customWidth="1"/>
    <col min="7" max="7" width="6.98181818181818" style="1" customWidth="1"/>
    <col min="8" max="8" width="37.7181818181818" style="1" customWidth="1"/>
    <col min="9" max="9" width="9.81818181818182" style="1"/>
    <col min="10" max="16" width="9.81818181818182" style="1" customWidth="1"/>
    <col min="17" max="16384" width="9.81818181818182" style="1"/>
  </cols>
  <sheetData>
    <row r="1" s="1" customFormat="1" ht="43.05" customHeight="1" spans="1:16">
      <c r="A1" s="3" t="s">
        <v>5</v>
      </c>
      <c r="B1" s="3"/>
      <c r="C1" s="3"/>
      <c r="D1" s="3"/>
      <c r="E1" s="3"/>
      <c r="F1" s="3"/>
      <c r="G1" s="3"/>
    </row>
    <row r="2" s="1" customFormat="1" ht="33" customHeight="1" spans="1:16">
      <c r="A2" s="34" t="s">
        <v>6</v>
      </c>
      <c r="B2" s="34" t="s">
        <v>7</v>
      </c>
      <c r="C2" s="34"/>
      <c r="D2" s="34"/>
      <c r="E2" s="35" t="s">
        <v>8</v>
      </c>
      <c r="F2" s="35"/>
      <c r="G2" s="36"/>
    </row>
    <row r="3" s="1" customFormat="1" ht="33" customHeight="1" spans="1:16">
      <c r="A3" s="34" t="s">
        <v>9</v>
      </c>
      <c r="B3" s="34" t="s">
        <v>10</v>
      </c>
      <c r="C3" s="34" t="s">
        <v>11</v>
      </c>
      <c r="D3" s="34" t="s">
        <v>12</v>
      </c>
      <c r="E3" s="34" t="s">
        <v>13</v>
      </c>
      <c r="F3" s="37">
        <v>46129</v>
      </c>
      <c r="G3" s="34" t="s">
        <v>14</v>
      </c>
    </row>
    <row r="4" s="1" customFormat="1" ht="33" customHeight="1" spans="1:16">
      <c r="A4" s="34" t="s">
        <v>15</v>
      </c>
      <c r="B4" s="34" t="s">
        <v>16</v>
      </c>
      <c r="C4" s="34" t="s">
        <v>17</v>
      </c>
      <c r="D4" s="38" t="s">
        <v>18</v>
      </c>
      <c r="E4" s="34" t="s">
        <v>13</v>
      </c>
      <c r="F4" s="37">
        <f>F3+1</f>
        <v>46130</v>
      </c>
      <c r="G4" s="34" t="s">
        <v>19</v>
      </c>
    </row>
    <row r="5" s="1" customFormat="1" ht="33" customHeight="1" spans="1:16">
      <c r="A5" s="9" t="s">
        <v>39</v>
      </c>
      <c r="B5" s="10"/>
      <c r="C5" s="10"/>
      <c r="D5" s="10"/>
      <c r="E5" s="10"/>
      <c r="F5" s="10"/>
      <c r="G5" s="11"/>
      <c r="H5" s="2" t="s">
        <v>40</v>
      </c>
    </row>
    <row r="6" s="1" customFormat="1" ht="150" customHeight="1" spans="1:16">
      <c r="A6" s="13"/>
      <c r="B6" s="14"/>
      <c r="C6" s="14"/>
      <c r="D6" s="14"/>
      <c r="E6" s="14"/>
      <c r="F6" s="14"/>
      <c r="G6" s="15"/>
      <c r="H6" s="62" t="s">
        <v>41</v>
      </c>
      <c r="J6" s="13"/>
      <c r="K6" s="14"/>
      <c r="L6" s="14"/>
      <c r="M6" s="14"/>
      <c r="N6" s="14"/>
      <c r="O6" s="14"/>
      <c r="P6" s="15"/>
    </row>
    <row r="7" s="1" customFormat="1" customHeight="1" spans="1:16">
      <c r="A7" s="16" t="s">
        <v>22</v>
      </c>
      <c r="B7" s="17"/>
      <c r="C7" s="17"/>
      <c r="D7" s="17"/>
      <c r="E7" s="17"/>
      <c r="F7" s="17"/>
      <c r="G7" s="18"/>
    </row>
    <row r="8" s="1" customFormat="1" ht="18" customHeight="1" spans="1:16">
      <c r="A8" s="19"/>
      <c r="B8" s="20"/>
      <c r="C8" s="20"/>
      <c r="D8" s="20"/>
      <c r="E8" s="20"/>
      <c r="F8" s="20"/>
      <c r="G8" s="21"/>
      <c r="H8" s="1" t="s">
        <v>42</v>
      </c>
    </row>
    <row r="9" s="1" customFormat="1" ht="25.05" customHeight="1" spans="1:16">
      <c r="A9" s="9" t="s">
        <v>24</v>
      </c>
      <c r="B9" s="10"/>
      <c r="C9" s="10"/>
      <c r="D9" s="10"/>
      <c r="E9" s="10"/>
      <c r="F9" s="10"/>
      <c r="G9" s="11"/>
    </row>
    <row r="10" s="1" customFormat="1" ht="26" customHeight="1" spans="1:16">
      <c r="A10" s="22" t="s">
        <v>25</v>
      </c>
      <c r="B10" s="23"/>
      <c r="C10" s="23"/>
      <c r="D10" s="23"/>
      <c r="E10" s="23"/>
      <c r="F10" s="23"/>
      <c r="G10" s="24"/>
    </row>
    <row r="11" s="1" customFormat="1" ht="22" customHeight="1" spans="1:16">
      <c r="A11" s="25" t="s">
        <v>26</v>
      </c>
      <c r="B11" s="26"/>
      <c r="C11" s="26"/>
      <c r="D11" s="26"/>
      <c r="E11" s="26"/>
      <c r="F11" s="26"/>
      <c r="G11" s="27"/>
    </row>
    <row r="12" s="1" customFormat="1" ht="78" customHeight="1" spans="1:16">
      <c r="A12" s="28"/>
      <c r="B12" s="28"/>
      <c r="C12" s="28"/>
      <c r="D12" s="28"/>
      <c r="E12" s="28"/>
      <c r="F12" s="28"/>
      <c r="G12" s="28"/>
    </row>
    <row r="13" ht="68" customHeight="1" spans="1:16">
      <c r="A13" s="29"/>
      <c r="B13" s="29"/>
      <c r="C13" s="29"/>
      <c r="D13" s="29"/>
      <c r="E13" s="29"/>
      <c r="F13" s="29"/>
      <c r="G13" s="29"/>
    </row>
  </sheetData>
  <mergeCells count="12">
    <mergeCell ref="A1:G1"/>
    <mergeCell ref="E2:F2"/>
    <mergeCell ref="A5:G5"/>
    <mergeCell ref="A6:G6"/>
    <mergeCell ref="J6:P6"/>
    <mergeCell ref="B7:G7"/>
    <mergeCell ref="A8:G8"/>
    <mergeCell ref="A9:G9"/>
    <mergeCell ref="A10:G10"/>
    <mergeCell ref="A11:G11"/>
    <mergeCell ref="A12:G12"/>
    <mergeCell ref="A13:G13"/>
  </mergeCells>
  <pageMargins left="0.75" right="0.75" top="1" bottom="1" header="0.5" footer="0.5"/>
  <pageSetup paperSize="9" scale="43"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8"/>
    <pageSetUpPr fitToPage="1"/>
  </sheetPr>
  <dimension ref="A1:P13"/>
  <sheetViews>
    <sheetView workbookViewId="0">
      <selection activeCell="A6" sqref="A6:G6"/>
    </sheetView>
  </sheetViews>
  <sheetFormatPr defaultColWidth="9.81818181818182" defaultRowHeight="15"/>
  <cols>
    <col min="1" max="1" width="24.2181818181818" style="1" customWidth="1"/>
    <col min="2" max="2" width="20.5090909090909" style="1" customWidth="1"/>
    <col min="3" max="3" width="10.9090909090909" style="1" customWidth="1"/>
    <col min="4" max="4" width="8.03636363636364" style="1" customWidth="1"/>
    <col min="5" max="5" width="6.32727272727273" style="1" customWidth="1"/>
    <col min="6" max="6" width="10.4727272727273" style="1" customWidth="1"/>
    <col min="7" max="7" width="6.98181818181818" style="1" customWidth="1"/>
    <col min="8" max="9" width="9.81818181818182" style="1"/>
    <col min="10" max="16" width="9.81818181818182" style="1" customWidth="1"/>
    <col min="17" max="16384" width="9.81818181818182" style="1"/>
  </cols>
  <sheetData>
    <row r="1" s="1" customFormat="1" ht="43.05" customHeight="1" spans="1:16">
      <c r="A1" s="48" t="s">
        <v>5</v>
      </c>
      <c r="B1" s="48"/>
      <c r="C1" s="48"/>
      <c r="D1" s="48"/>
      <c r="E1" s="48"/>
      <c r="F1" s="48"/>
      <c r="G1" s="48"/>
    </row>
    <row r="2" s="1" customFormat="1" ht="33" customHeight="1" spans="1:16">
      <c r="A2" s="49" t="s">
        <v>6</v>
      </c>
      <c r="B2" s="49" t="s">
        <v>7</v>
      </c>
      <c r="C2" s="49"/>
      <c r="D2" s="49"/>
      <c r="E2" s="41" t="s">
        <v>8</v>
      </c>
      <c r="F2" s="41"/>
      <c r="G2" s="50"/>
    </row>
    <row r="3" s="1" customFormat="1" ht="33" customHeight="1" spans="1:16">
      <c r="A3" s="49" t="s">
        <v>9</v>
      </c>
      <c r="B3" s="49" t="s">
        <v>10</v>
      </c>
      <c r="C3" s="49" t="s">
        <v>11</v>
      </c>
      <c r="D3" s="49" t="s">
        <v>12</v>
      </c>
      <c r="E3" s="49" t="s">
        <v>13</v>
      </c>
      <c r="F3" s="51">
        <v>46128</v>
      </c>
      <c r="G3" s="49" t="s">
        <v>14</v>
      </c>
    </row>
    <row r="4" s="1" customFormat="1" ht="33" customHeight="1" spans="1:16">
      <c r="A4" s="49" t="s">
        <v>15</v>
      </c>
      <c r="B4" s="49" t="s">
        <v>16</v>
      </c>
      <c r="C4" s="49" t="s">
        <v>17</v>
      </c>
      <c r="D4" s="52" t="s">
        <v>18</v>
      </c>
      <c r="E4" s="49" t="s">
        <v>13</v>
      </c>
      <c r="F4" s="51">
        <f>F3+1</f>
        <v>46129</v>
      </c>
      <c r="G4" s="49" t="s">
        <v>19</v>
      </c>
    </row>
    <row r="5" s="1" customFormat="1" ht="33" customHeight="1" spans="1:16">
      <c r="A5" s="53" t="s">
        <v>43</v>
      </c>
      <c r="B5" s="54"/>
      <c r="C5" s="54"/>
      <c r="D5" s="54"/>
      <c r="E5" s="54"/>
      <c r="F5" s="54"/>
      <c r="G5" s="55"/>
    </row>
    <row r="6" s="1" customFormat="1" ht="222" customHeight="1" spans="1:16">
      <c r="A6" s="13" t="s">
        <v>44</v>
      </c>
      <c r="B6" s="14"/>
      <c r="C6" s="14"/>
      <c r="D6" s="14"/>
      <c r="E6" s="14"/>
      <c r="F6" s="14"/>
      <c r="G6" s="15"/>
      <c r="J6" s="13"/>
      <c r="K6" s="14"/>
      <c r="L6" s="14"/>
      <c r="M6" s="14"/>
      <c r="N6" s="14"/>
      <c r="O6" s="14"/>
      <c r="P6" s="15"/>
    </row>
    <row r="7" s="1" customFormat="1" customHeight="1" spans="1:16">
      <c r="A7" s="56" t="s">
        <v>22</v>
      </c>
      <c r="B7" s="57"/>
      <c r="C7" s="57"/>
      <c r="D7" s="57"/>
      <c r="E7" s="57"/>
      <c r="F7" s="57"/>
      <c r="G7" s="58"/>
    </row>
    <row r="8" s="1" customFormat="1" ht="34" customHeight="1" spans="1:16">
      <c r="A8" s="19" t="s">
        <v>45</v>
      </c>
      <c r="B8" s="20"/>
      <c r="C8" s="20"/>
      <c r="D8" s="20"/>
      <c r="E8" s="20"/>
      <c r="F8" s="20"/>
      <c r="G8" s="21"/>
    </row>
    <row r="9" s="1" customFormat="1" ht="25.05" customHeight="1" spans="1:16">
      <c r="A9" s="53" t="s">
        <v>24</v>
      </c>
      <c r="B9" s="54"/>
      <c r="C9" s="54"/>
      <c r="D9" s="54"/>
      <c r="E9" s="54"/>
      <c r="F9" s="54"/>
      <c r="G9" s="55"/>
    </row>
    <row r="10" s="1" customFormat="1" ht="26" customHeight="1" spans="1:16">
      <c r="A10" s="59" t="s">
        <v>25</v>
      </c>
      <c r="B10" s="60"/>
      <c r="C10" s="60"/>
      <c r="D10" s="60"/>
      <c r="E10" s="60"/>
      <c r="F10" s="60"/>
      <c r="G10" s="61"/>
    </row>
    <row r="11" s="1" customFormat="1" ht="22" customHeight="1" spans="1:16">
      <c r="A11" s="53" t="s">
        <v>26</v>
      </c>
      <c r="B11" s="54"/>
      <c r="C11" s="54"/>
      <c r="D11" s="54"/>
      <c r="E11" s="54"/>
      <c r="F11" s="54"/>
      <c r="G11" s="55"/>
    </row>
    <row r="12" s="1" customFormat="1" ht="102" customHeight="1" spans="1:16">
      <c r="A12" s="28" t="s">
        <v>46</v>
      </c>
      <c r="B12" s="28"/>
      <c r="C12" s="28"/>
      <c r="D12" s="28"/>
      <c r="E12" s="28"/>
      <c r="F12" s="28"/>
      <c r="G12" s="28"/>
    </row>
    <row r="13" ht="51" customHeight="1" spans="1:16">
      <c r="A13" s="29" t="s">
        <v>47</v>
      </c>
      <c r="B13" s="29"/>
      <c r="C13" s="29"/>
      <c r="D13" s="29"/>
      <c r="E13" s="29"/>
      <c r="F13" s="29"/>
      <c r="G13" s="29"/>
    </row>
  </sheetData>
  <mergeCells count="12">
    <mergeCell ref="A1:G1"/>
    <mergeCell ref="E2:F2"/>
    <mergeCell ref="A5:G5"/>
    <mergeCell ref="A6:G6"/>
    <mergeCell ref="J6:P6"/>
    <mergeCell ref="B7:G7"/>
    <mergeCell ref="A8:G8"/>
    <mergeCell ref="A9:G9"/>
    <mergeCell ref="A10:G10"/>
    <mergeCell ref="A11:G11"/>
    <mergeCell ref="A12:G12"/>
    <mergeCell ref="A13:G13"/>
  </mergeCells>
  <pageMargins left="0.75" right="0.75" top="1" bottom="1" header="0.5" footer="0.5"/>
  <pageSetup paperSize="9" scale="50"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8"/>
    <pageSetUpPr fitToPage="1"/>
  </sheetPr>
  <dimension ref="A1:K13"/>
  <sheetViews>
    <sheetView zoomScale="90" zoomScaleNormal="90" workbookViewId="0">
      <selection activeCell="I9" sqref="I9"/>
    </sheetView>
  </sheetViews>
  <sheetFormatPr defaultColWidth="9.81818181818182" defaultRowHeight="15"/>
  <cols>
    <col min="1" max="1" width="24.2181818181818" style="1" customWidth="1"/>
    <col min="2" max="2" width="20.5090909090909" style="1" customWidth="1"/>
    <col min="3" max="3" width="10.9090909090909" style="1" customWidth="1"/>
    <col min="4" max="4" width="8.03636363636364" style="1" customWidth="1"/>
    <col min="5" max="5" width="6.32727272727273" style="1" customWidth="1"/>
    <col min="6" max="6" width="10.4727272727273" style="1" customWidth="1"/>
    <col min="7" max="7" width="6.98181818181818" style="1" customWidth="1"/>
    <col min="8" max="8" width="9.81818181818182" style="1"/>
    <col min="9" max="11" width="9.81818181818182" style="1" customWidth="1"/>
    <col min="12" max="16384" width="9.81818181818182" style="1"/>
  </cols>
  <sheetData>
    <row r="1" s="1" customFormat="1" ht="43.05" customHeight="1" spans="1:11">
      <c r="A1" s="3" t="s">
        <v>5</v>
      </c>
      <c r="B1" s="3"/>
      <c r="C1" s="3"/>
      <c r="D1" s="3"/>
      <c r="E1" s="3"/>
      <c r="F1" s="3"/>
      <c r="G1" s="3"/>
    </row>
    <row r="2" s="1" customFormat="1" ht="33" customHeight="1" spans="1:11">
      <c r="A2" s="34" t="s">
        <v>6</v>
      </c>
      <c r="B2" s="34" t="s">
        <v>7</v>
      </c>
      <c r="C2" s="34"/>
      <c r="D2" s="34"/>
      <c r="E2" s="35" t="s">
        <v>8</v>
      </c>
      <c r="F2" s="35"/>
      <c r="G2" s="36"/>
    </row>
    <row r="3" s="1" customFormat="1" ht="69" customHeight="1" spans="1:11">
      <c r="A3" s="34" t="s">
        <v>9</v>
      </c>
      <c r="B3" s="34" t="s">
        <v>10</v>
      </c>
      <c r="C3" s="34" t="s">
        <v>11</v>
      </c>
      <c r="D3" s="34" t="s">
        <v>12</v>
      </c>
      <c r="E3" s="34" t="s">
        <v>13</v>
      </c>
      <c r="F3" s="37">
        <v>46128</v>
      </c>
      <c r="G3" s="34" t="s">
        <v>14</v>
      </c>
    </row>
    <row r="4" s="1" customFormat="1" ht="33" customHeight="1" spans="1:11">
      <c r="A4" s="34" t="s">
        <v>15</v>
      </c>
      <c r="B4" s="34" t="s">
        <v>16</v>
      </c>
      <c r="C4" s="34" t="s">
        <v>17</v>
      </c>
      <c r="D4" s="38" t="s">
        <v>18</v>
      </c>
      <c r="E4" s="34" t="s">
        <v>13</v>
      </c>
      <c r="F4" s="37">
        <f>F3+1</f>
        <v>46129</v>
      </c>
      <c r="G4" s="34" t="s">
        <v>19</v>
      </c>
    </row>
    <row r="5" s="1" customFormat="1" ht="33" customHeight="1" spans="1:11">
      <c r="A5" s="9" t="s">
        <v>48</v>
      </c>
      <c r="B5" s="10"/>
      <c r="C5" s="10"/>
      <c r="D5" s="10"/>
      <c r="E5" s="10"/>
      <c r="F5" s="10"/>
      <c r="G5" s="11"/>
    </row>
    <row r="6" s="1" customFormat="1" ht="94" customHeight="1" spans="1:11">
      <c r="A6" s="13" t="s">
        <v>49</v>
      </c>
      <c r="B6" s="14"/>
      <c r="C6" s="14"/>
      <c r="D6" s="14"/>
      <c r="E6" s="14"/>
      <c r="F6" s="14"/>
      <c r="G6" s="15"/>
      <c r="I6" s="46"/>
      <c r="J6" s="46"/>
      <c r="K6" s="15"/>
    </row>
    <row r="7" s="1" customFormat="1" ht="17" customHeight="1" spans="1:11">
      <c r="A7" s="16" t="s">
        <v>22</v>
      </c>
      <c r="B7" s="17"/>
      <c r="C7" s="17"/>
      <c r="D7" s="17"/>
      <c r="E7" s="17"/>
      <c r="F7" s="17"/>
      <c r="G7" s="18"/>
    </row>
    <row r="8" s="1" customFormat="1" ht="40" customHeight="1" spans="1:11">
      <c r="A8" s="19" t="s">
        <v>50</v>
      </c>
      <c r="B8" s="20"/>
      <c r="C8" s="20"/>
      <c r="D8" s="20"/>
      <c r="E8" s="20"/>
      <c r="F8" s="20"/>
      <c r="G8" s="21"/>
    </row>
    <row r="9" s="1" customFormat="1" ht="57" customHeight="1" spans="1:11">
      <c r="A9" s="9" t="s">
        <v>24</v>
      </c>
      <c r="B9" s="10"/>
      <c r="C9" s="10"/>
      <c r="D9" s="10"/>
      <c r="E9" s="10"/>
      <c r="F9" s="10"/>
      <c r="G9" s="11"/>
    </row>
    <row r="10" s="1" customFormat="1" ht="45" customHeight="1" spans="1:11">
      <c r="A10" s="22" t="s">
        <v>25</v>
      </c>
      <c r="B10" s="23"/>
      <c r="C10" s="23"/>
      <c r="D10" s="23"/>
      <c r="E10" s="23"/>
      <c r="F10" s="23"/>
      <c r="G10" s="24"/>
    </row>
    <row r="11" s="1" customFormat="1" ht="24" customHeight="1" spans="1:11">
      <c r="A11" s="25" t="s">
        <v>26</v>
      </c>
      <c r="B11" s="26"/>
      <c r="C11" s="26"/>
      <c r="D11" s="26"/>
      <c r="E11" s="26"/>
      <c r="F11" s="26"/>
      <c r="G11" s="27"/>
    </row>
    <row r="12" s="2" customFormat="1" ht="104" customHeight="1" spans="1:11">
      <c r="A12" s="28" t="s">
        <v>51</v>
      </c>
      <c r="B12" s="28"/>
      <c r="C12" s="28"/>
      <c r="D12" s="28"/>
      <c r="E12" s="28"/>
      <c r="F12" s="28"/>
      <c r="G12" s="28"/>
    </row>
    <row r="13" s="2" customFormat="1" ht="43" customHeight="1" spans="1:11">
      <c r="A13" s="29" t="s">
        <v>52</v>
      </c>
      <c r="B13" s="29"/>
      <c r="C13" s="29"/>
      <c r="D13" s="29"/>
      <c r="E13" s="29"/>
      <c r="F13" s="29"/>
      <c r="G13" s="29"/>
    </row>
  </sheetData>
  <mergeCells count="11">
    <mergeCell ref="A1:G1"/>
    <mergeCell ref="E2:F2"/>
    <mergeCell ref="A5:G5"/>
    <mergeCell ref="A6:G6"/>
    <mergeCell ref="B7:G7"/>
    <mergeCell ref="A8:G8"/>
    <mergeCell ref="A9:G9"/>
    <mergeCell ref="A10:G10"/>
    <mergeCell ref="A11:G11"/>
    <mergeCell ref="A12:G12"/>
    <mergeCell ref="A13:G13"/>
  </mergeCells>
  <pageMargins left="0.75" right="0.75" top="1" bottom="1" header="0.5" footer="0.5"/>
  <pageSetup paperSize="9" scale="69"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Q13"/>
  <sheetViews>
    <sheetView zoomScale="90" zoomScaleNormal="90" workbookViewId="0">
      <selection activeCell="H6" sqref="H6"/>
    </sheetView>
  </sheetViews>
  <sheetFormatPr defaultColWidth="9.81818181818182" defaultRowHeight="15"/>
  <cols>
    <col min="1" max="1" width="24.2181818181818" style="1" customWidth="1"/>
    <col min="2" max="2" width="20.5090909090909" style="1" customWidth="1"/>
    <col min="3" max="3" width="10.9090909090909" style="1" customWidth="1"/>
    <col min="4" max="4" width="8.03636363636364" style="1" customWidth="1"/>
    <col min="5" max="5" width="6.32727272727273" style="1" customWidth="1"/>
    <col min="6" max="6" width="11.7363636363636" style="1" customWidth="1"/>
    <col min="7" max="7" width="8.33636363636364" style="1" customWidth="1"/>
    <col min="8" max="8" width="52.5" style="1" customWidth="1"/>
    <col min="9" max="10" width="7.83636363636364" style="1" customWidth="1"/>
    <col min="11" max="11" width="13.4181818181818" style="1" customWidth="1"/>
    <col min="12" max="12" width="24.6272727272727" style="1" customWidth="1"/>
    <col min="13" max="13" width="9.81818181818182" style="1" customWidth="1"/>
    <col min="14" max="14" width="40.2727272727273" style="1" customWidth="1"/>
    <col min="15" max="17" width="9.81818181818182" style="1" customWidth="1"/>
    <col min="18" max="16384" width="9.81818181818182" style="1"/>
  </cols>
  <sheetData>
    <row r="1" s="1" customFormat="1" ht="43.05" customHeight="1" spans="1:17">
      <c r="A1" s="3" t="s">
        <v>5</v>
      </c>
      <c r="B1" s="3"/>
      <c r="C1" s="3"/>
      <c r="D1" s="3"/>
      <c r="E1" s="3"/>
      <c r="F1" s="3"/>
      <c r="G1" s="3"/>
      <c r="K1" s="39" t="s">
        <v>53</v>
      </c>
      <c r="L1" s="39"/>
      <c r="M1" s="39"/>
      <c r="N1" s="39"/>
    </row>
    <row r="2" s="1" customFormat="1" ht="33" customHeight="1" spans="1:17">
      <c r="A2" s="34" t="s">
        <v>6</v>
      </c>
      <c r="B2" s="34" t="s">
        <v>7</v>
      </c>
      <c r="C2" s="34"/>
      <c r="D2" s="34"/>
      <c r="E2" s="35" t="s">
        <v>8</v>
      </c>
      <c r="F2" s="35"/>
      <c r="G2" s="36"/>
      <c r="I2" s="40"/>
      <c r="J2" s="41" t="s">
        <v>0</v>
      </c>
      <c r="K2" s="42" t="s">
        <v>54</v>
      </c>
      <c r="L2" s="42" t="s">
        <v>55</v>
      </c>
      <c r="M2" s="42" t="s">
        <v>56</v>
      </c>
      <c r="N2" s="42" t="s">
        <v>57</v>
      </c>
    </row>
    <row r="3" s="1" customFormat="1" ht="35" customHeight="1" spans="1:17">
      <c r="A3" s="34" t="s">
        <v>9</v>
      </c>
      <c r="B3" s="34" t="s">
        <v>10</v>
      </c>
      <c r="C3" s="34" t="s">
        <v>11</v>
      </c>
      <c r="D3" s="34" t="s">
        <v>12</v>
      </c>
      <c r="E3" s="34" t="s">
        <v>13</v>
      </c>
      <c r="F3" s="37">
        <v>46128</v>
      </c>
      <c r="G3" s="34" t="s">
        <v>14</v>
      </c>
      <c r="I3" s="40"/>
      <c r="J3" s="41">
        <v>1</v>
      </c>
      <c r="K3" s="42" t="s">
        <v>58</v>
      </c>
      <c r="L3" s="43" t="s">
        <v>59</v>
      </c>
      <c r="M3" s="42">
        <v>1000</v>
      </c>
      <c r="N3" s="43" t="s">
        <v>60</v>
      </c>
    </row>
    <row r="4" s="1" customFormat="1" ht="33" customHeight="1" spans="1:17">
      <c r="A4" s="34" t="s">
        <v>15</v>
      </c>
      <c r="B4" s="34" t="s">
        <v>16</v>
      </c>
      <c r="C4" s="34" t="s">
        <v>17</v>
      </c>
      <c r="D4" s="38" t="s">
        <v>18</v>
      </c>
      <c r="E4" s="34" t="s">
        <v>13</v>
      </c>
      <c r="F4" s="37">
        <f>F3+1</f>
        <v>46129</v>
      </c>
      <c r="G4" s="34" t="s">
        <v>19</v>
      </c>
      <c r="I4" s="40"/>
      <c r="J4" s="41">
        <v>2</v>
      </c>
      <c r="K4" s="42" t="s">
        <v>61</v>
      </c>
      <c r="L4" s="43" t="s">
        <v>59</v>
      </c>
      <c r="M4" s="42">
        <v>5000</v>
      </c>
      <c r="N4" s="43" t="s">
        <v>62</v>
      </c>
    </row>
    <row r="5" s="1" customFormat="1" ht="33" customHeight="1" spans="1:17">
      <c r="A5" s="9" t="s">
        <v>39</v>
      </c>
      <c r="B5" s="10"/>
      <c r="C5" s="10"/>
      <c r="D5" s="10"/>
      <c r="E5" s="10"/>
      <c r="F5" s="10"/>
      <c r="G5" s="11"/>
      <c r="H5" s="1" t="s">
        <v>63</v>
      </c>
      <c r="I5" s="40"/>
      <c r="J5" s="41">
        <v>3</v>
      </c>
      <c r="K5" s="42" t="s">
        <v>64</v>
      </c>
      <c r="L5" s="43" t="s">
        <v>59</v>
      </c>
      <c r="M5" s="42">
        <v>2000</v>
      </c>
      <c r="N5" s="43" t="s">
        <v>65</v>
      </c>
    </row>
    <row r="6" s="1" customFormat="1" ht="94" customHeight="1" spans="1:17">
      <c r="A6" s="13"/>
      <c r="B6" s="14"/>
      <c r="C6" s="14"/>
      <c r="D6" s="14"/>
      <c r="E6" s="14"/>
      <c r="F6" s="14"/>
      <c r="G6" s="15"/>
      <c r="H6" s="44" t="s">
        <v>66</v>
      </c>
      <c r="I6" s="40"/>
      <c r="J6" s="41">
        <v>4</v>
      </c>
      <c r="K6" s="45" t="s">
        <v>67</v>
      </c>
      <c r="L6" s="43" t="s">
        <v>59</v>
      </c>
      <c r="M6" s="41">
        <v>14000</v>
      </c>
      <c r="N6" s="43" t="s">
        <v>68</v>
      </c>
      <c r="O6" s="46"/>
      <c r="P6" s="46"/>
      <c r="Q6" s="15"/>
    </row>
    <row r="7" s="1" customFormat="1" ht="17" customHeight="1" spans="1:17">
      <c r="A7" s="16" t="s">
        <v>22</v>
      </c>
      <c r="B7" s="17"/>
      <c r="C7" s="17"/>
      <c r="D7" s="17"/>
      <c r="E7" s="17"/>
      <c r="F7" s="17"/>
      <c r="G7" s="18"/>
      <c r="I7" s="40"/>
      <c r="J7" s="41">
        <v>5</v>
      </c>
      <c r="K7" s="45" t="s">
        <v>69</v>
      </c>
      <c r="L7" s="43" t="s">
        <v>59</v>
      </c>
      <c r="M7" s="41">
        <v>2000</v>
      </c>
      <c r="N7" s="43" t="s">
        <v>70</v>
      </c>
    </row>
    <row r="8" s="1" customFormat="1" ht="46" customHeight="1" spans="1:17">
      <c r="A8" s="19" t="s">
        <v>71</v>
      </c>
      <c r="B8" s="20"/>
      <c r="C8" s="20"/>
      <c r="D8" s="20"/>
      <c r="E8" s="20"/>
      <c r="F8" s="20"/>
      <c r="G8" s="21"/>
      <c r="H8" s="47" t="s">
        <v>72</v>
      </c>
      <c r="I8" s="40"/>
      <c r="J8" s="41">
        <v>6</v>
      </c>
      <c r="K8" s="45" t="s">
        <v>73</v>
      </c>
      <c r="L8" s="43" t="s">
        <v>59</v>
      </c>
      <c r="M8" s="41">
        <v>4000</v>
      </c>
      <c r="N8" s="43" t="s">
        <v>74</v>
      </c>
    </row>
    <row r="9" s="1" customFormat="1" ht="36" customHeight="1" spans="1:17">
      <c r="A9" s="9" t="s">
        <v>24</v>
      </c>
      <c r="B9" s="10"/>
      <c r="C9" s="10"/>
      <c r="D9" s="10"/>
      <c r="E9" s="10"/>
      <c r="F9" s="10"/>
      <c r="G9" s="11"/>
      <c r="I9" s="40"/>
      <c r="J9" s="41">
        <v>7</v>
      </c>
      <c r="K9" s="45" t="s">
        <v>75</v>
      </c>
      <c r="L9" s="43" t="s">
        <v>59</v>
      </c>
      <c r="M9" s="41">
        <v>2000</v>
      </c>
      <c r="N9" s="43" t="s">
        <v>76</v>
      </c>
    </row>
    <row r="10" s="1" customFormat="1" ht="45" customHeight="1" spans="1:17">
      <c r="A10" s="22" t="s">
        <v>25</v>
      </c>
      <c r="B10" s="23"/>
      <c r="C10" s="23"/>
      <c r="D10" s="23"/>
      <c r="E10" s="23"/>
      <c r="F10" s="23"/>
      <c r="G10" s="24"/>
      <c r="I10" s="40"/>
      <c r="J10" s="41">
        <v>8</v>
      </c>
      <c r="K10" s="45" t="s">
        <v>77</v>
      </c>
      <c r="L10" s="43" t="s">
        <v>59</v>
      </c>
      <c r="M10" s="41">
        <v>2000</v>
      </c>
      <c r="N10" s="43" t="s">
        <v>78</v>
      </c>
    </row>
    <row r="11" s="1" customFormat="1" ht="24" customHeight="1" spans="1:17">
      <c r="A11" s="25" t="s">
        <v>26</v>
      </c>
      <c r="B11" s="26"/>
      <c r="C11" s="26"/>
      <c r="D11" s="26"/>
      <c r="E11" s="26"/>
      <c r="F11" s="26"/>
      <c r="G11" s="27"/>
      <c r="I11" s="40"/>
      <c r="J11" s="41">
        <v>9</v>
      </c>
      <c r="K11" s="45" t="s">
        <v>79</v>
      </c>
      <c r="L11" s="43" t="s">
        <v>59</v>
      </c>
      <c r="M11" s="41">
        <v>2000</v>
      </c>
      <c r="N11" s="43" t="s">
        <v>80</v>
      </c>
    </row>
    <row r="12" s="2" customFormat="1" ht="104" customHeight="1" spans="1:17">
      <c r="A12" s="28"/>
      <c r="B12" s="28"/>
      <c r="C12" s="28"/>
      <c r="D12" s="28"/>
      <c r="E12" s="28"/>
      <c r="F12" s="28"/>
      <c r="G12" s="28"/>
      <c r="I12" s="40"/>
      <c r="J12" s="41"/>
      <c r="K12" s="45"/>
      <c r="L12" s="45"/>
      <c r="M12" s="41">
        <v>34000</v>
      </c>
      <c r="N12" s="45"/>
    </row>
    <row r="13" s="2" customFormat="1" ht="43" customHeight="1" spans="1:17">
      <c r="A13" s="29" t="s">
        <v>52</v>
      </c>
      <c r="B13" s="29"/>
      <c r="C13" s="29"/>
      <c r="D13" s="29"/>
      <c r="E13" s="29"/>
      <c r="F13" s="29"/>
      <c r="G13" s="29"/>
    </row>
  </sheetData>
  <mergeCells count="12">
    <mergeCell ref="A1:G1"/>
    <mergeCell ref="K1:N1"/>
    <mergeCell ref="E2:F2"/>
    <mergeCell ref="A5:G5"/>
    <mergeCell ref="A6:G6"/>
    <mergeCell ref="B7:G7"/>
    <mergeCell ref="A8:G8"/>
    <mergeCell ref="A9:G9"/>
    <mergeCell ref="A10:G10"/>
    <mergeCell ref="A11:G11"/>
    <mergeCell ref="A12:G12"/>
    <mergeCell ref="A13:G13"/>
  </mergeCells>
  <pageMargins left="0.75" right="0.75" top="1" bottom="1" header="0.5" footer="0.5"/>
  <pageSetup paperSize="9" scale="31"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8"/>
    <pageSetUpPr fitToPage="1"/>
  </sheetPr>
  <dimension ref="A1:G12"/>
  <sheetViews>
    <sheetView workbookViewId="0">
      <selection activeCell="A6" sqref="A6:G6"/>
    </sheetView>
  </sheetViews>
  <sheetFormatPr defaultColWidth="9.02727272727273" defaultRowHeight="14" outlineLevelCol="6"/>
  <cols>
    <col min="1" max="1" width="24.2181818181818" customWidth="1"/>
    <col min="2" max="2" width="20.5090909090909" customWidth="1"/>
    <col min="3" max="3" width="10.9090909090909" customWidth="1"/>
    <col min="4" max="4" width="8.03636363636364" customWidth="1"/>
    <col min="5" max="5" width="6.32727272727273" customWidth="1"/>
    <col min="6" max="6" width="10.4727272727273" customWidth="1"/>
    <col min="7" max="7" width="6.98181818181818" customWidth="1"/>
  </cols>
  <sheetData>
    <row r="1" ht="40" customHeight="1" spans="1:7">
      <c r="A1" s="3" t="s">
        <v>5</v>
      </c>
      <c r="B1" s="3"/>
      <c r="C1" s="3"/>
      <c r="D1" s="3"/>
      <c r="E1" s="3"/>
      <c r="F1" s="3"/>
      <c r="G1" s="3"/>
    </row>
    <row r="2" ht="20" customHeight="1" spans="1:7">
      <c r="A2" s="34" t="s">
        <v>6</v>
      </c>
      <c r="B2" s="34" t="s">
        <v>7</v>
      </c>
      <c r="C2" s="34"/>
      <c r="D2" s="34"/>
      <c r="E2" s="35" t="s">
        <v>8</v>
      </c>
      <c r="F2" s="35"/>
      <c r="G2" s="36"/>
    </row>
    <row r="3" ht="20" customHeight="1" spans="1:7">
      <c r="A3" s="34" t="s">
        <v>9</v>
      </c>
      <c r="B3" s="34" t="s">
        <v>10</v>
      </c>
      <c r="C3" s="34" t="s">
        <v>11</v>
      </c>
      <c r="D3" s="34" t="s">
        <v>12</v>
      </c>
      <c r="E3" s="34" t="s">
        <v>13</v>
      </c>
      <c r="F3" s="37">
        <v>46127</v>
      </c>
      <c r="G3" s="34" t="s">
        <v>14</v>
      </c>
    </row>
    <row r="4" ht="30" spans="1:7">
      <c r="A4" s="34" t="s">
        <v>15</v>
      </c>
      <c r="B4" s="34" t="s">
        <v>16</v>
      </c>
      <c r="C4" s="34" t="s">
        <v>17</v>
      </c>
      <c r="D4" s="38" t="s">
        <v>18</v>
      </c>
      <c r="E4" s="34" t="s">
        <v>13</v>
      </c>
      <c r="F4" s="37">
        <f>F3+1</f>
        <v>46128</v>
      </c>
      <c r="G4" s="34" t="s">
        <v>19</v>
      </c>
    </row>
    <row r="5" ht="26" customHeight="1" spans="1:7">
      <c r="A5" s="9" t="s">
        <v>81</v>
      </c>
      <c r="B5" s="10"/>
      <c r="C5" s="10"/>
      <c r="D5" s="10"/>
      <c r="E5" s="10"/>
      <c r="F5" s="10"/>
      <c r="G5" s="11"/>
    </row>
    <row r="6" ht="106" customHeight="1" spans="1:7">
      <c r="A6" s="13" t="s">
        <v>82</v>
      </c>
      <c r="B6" s="14"/>
      <c r="C6" s="14"/>
      <c r="D6" s="14"/>
      <c r="E6" s="14"/>
      <c r="F6" s="14"/>
      <c r="G6" s="15"/>
    </row>
    <row r="7" ht="23" customHeight="1" spans="1:7">
      <c r="A7" s="16" t="s">
        <v>22</v>
      </c>
      <c r="B7" s="17"/>
      <c r="C7" s="17"/>
      <c r="D7" s="17"/>
      <c r="E7" s="17"/>
      <c r="F7" s="17"/>
      <c r="G7" s="18"/>
    </row>
    <row r="8" ht="40" customHeight="1" spans="1:7">
      <c r="A8" s="19" t="s">
        <v>83</v>
      </c>
      <c r="B8" s="20"/>
      <c r="C8" s="20"/>
      <c r="D8" s="20"/>
      <c r="E8" s="20"/>
      <c r="F8" s="20"/>
      <c r="G8" s="21"/>
    </row>
    <row r="9" ht="15" spans="1:7">
      <c r="A9" s="22" t="s">
        <v>25</v>
      </c>
      <c r="B9" s="23"/>
      <c r="C9" s="23"/>
      <c r="D9" s="23"/>
      <c r="E9" s="23"/>
      <c r="F9" s="23"/>
      <c r="G9" s="24"/>
    </row>
    <row r="10" ht="19" customHeight="1" spans="1:7">
      <c r="A10" s="25" t="s">
        <v>26</v>
      </c>
      <c r="B10" s="26"/>
      <c r="C10" s="26"/>
      <c r="D10" s="26"/>
      <c r="E10" s="26"/>
      <c r="F10" s="26"/>
      <c r="G10" s="27"/>
    </row>
    <row r="11" ht="78" customHeight="1" spans="1:7">
      <c r="A11" s="13" t="s">
        <v>84</v>
      </c>
      <c r="B11" s="14"/>
      <c r="C11" s="14"/>
      <c r="D11" s="14"/>
      <c r="E11" s="14"/>
      <c r="F11" s="14"/>
      <c r="G11" s="15"/>
    </row>
    <row r="12" ht="27" customHeight="1" spans="1:7">
      <c r="A12" t="s">
        <v>85</v>
      </c>
    </row>
  </sheetData>
  <mergeCells count="9">
    <mergeCell ref="A1:G1"/>
    <mergeCell ref="E2:F2"/>
    <mergeCell ref="A5:G5"/>
    <mergeCell ref="A6:G6"/>
    <mergeCell ref="B7:G7"/>
    <mergeCell ref="A8:G8"/>
    <mergeCell ref="A9:G9"/>
    <mergeCell ref="A10:G10"/>
    <mergeCell ref="A11:G11"/>
  </mergeCells>
  <pageMargins left="0.75" right="0.75" top="1" bottom="1" header="0.5" footer="0.5"/>
  <pageSetup paperSize="9" scale="66"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13"/>
  <sheetViews>
    <sheetView workbookViewId="0">
      <selection activeCell="A6" sqref="A6:G6"/>
    </sheetView>
  </sheetViews>
  <sheetFormatPr defaultColWidth="9.81818181818182" defaultRowHeight="15"/>
  <cols>
    <col min="1" max="1" width="24.2181818181818" style="1" customWidth="1"/>
    <col min="2" max="2" width="16.1363636363636" style="1" customWidth="1"/>
    <col min="3" max="3" width="10.9090909090909" style="1" customWidth="1"/>
    <col min="4" max="4" width="8.03636363636364" style="1" customWidth="1"/>
    <col min="5" max="5" width="6.32727272727273" style="1" customWidth="1"/>
    <col min="6" max="6" width="10.4727272727273" style="1" customWidth="1"/>
    <col min="7" max="7" width="6.98181818181818" style="1" customWidth="1"/>
    <col min="8" max="8" width="44.6090909090909" style="1" customWidth="1"/>
    <col min="9" max="9" width="9.81818181818182" style="1"/>
    <col min="10" max="16" width="9.81818181818182" style="1" customWidth="1"/>
    <col min="17" max="16384" width="9.81818181818182" style="1"/>
  </cols>
  <sheetData>
    <row r="1" s="1" customFormat="1" ht="43.05" customHeight="1" spans="1:16">
      <c r="A1" s="3" t="s">
        <v>5</v>
      </c>
      <c r="B1" s="3"/>
      <c r="C1" s="3"/>
      <c r="D1" s="3"/>
      <c r="E1" s="3"/>
      <c r="F1" s="3"/>
      <c r="G1" s="3"/>
    </row>
    <row r="2" s="1" customFormat="1" ht="33" customHeight="1" spans="1:16">
      <c r="A2" s="4" t="s">
        <v>6</v>
      </c>
      <c r="B2" s="4" t="s">
        <v>7</v>
      </c>
      <c r="C2" s="4"/>
      <c r="D2" s="4"/>
      <c r="E2" s="5" t="s">
        <v>8</v>
      </c>
      <c r="F2" s="5"/>
      <c r="G2" s="6"/>
    </row>
    <row r="3" s="1" customFormat="1" ht="33" customHeight="1" spans="1:16">
      <c r="A3" s="4" t="s">
        <v>9</v>
      </c>
      <c r="B3" s="4" t="s">
        <v>10</v>
      </c>
      <c r="C3" s="4" t="s">
        <v>11</v>
      </c>
      <c r="D3" s="4" t="s">
        <v>12</v>
      </c>
      <c r="E3" s="4" t="s">
        <v>13</v>
      </c>
      <c r="F3" s="7">
        <v>46128</v>
      </c>
      <c r="G3" s="4" t="s">
        <v>14</v>
      </c>
    </row>
    <row r="4" s="1" customFormat="1" ht="33" customHeight="1" spans="1:16">
      <c r="A4" s="4" t="s">
        <v>15</v>
      </c>
      <c r="B4" s="4" t="s">
        <v>16</v>
      </c>
      <c r="C4" s="4" t="s">
        <v>17</v>
      </c>
      <c r="D4" s="8" t="s">
        <v>18</v>
      </c>
      <c r="E4" s="4" t="s">
        <v>13</v>
      </c>
      <c r="F4" s="7">
        <f>F3+1</f>
        <v>46129</v>
      </c>
      <c r="G4" s="4" t="s">
        <v>19</v>
      </c>
    </row>
    <row r="5" s="1" customFormat="1" ht="33" customHeight="1" spans="1:16">
      <c r="A5" s="9" t="s">
        <v>39</v>
      </c>
      <c r="B5" s="10"/>
      <c r="C5" s="10"/>
      <c r="D5" s="10"/>
      <c r="E5" s="10"/>
      <c r="F5" s="10"/>
      <c r="G5" s="11"/>
      <c r="H5" s="2" t="s">
        <v>86</v>
      </c>
    </row>
    <row r="6" s="1" customFormat="1" ht="223" customHeight="1" spans="1:16">
      <c r="A6" s="13"/>
      <c r="B6" s="14"/>
      <c r="C6" s="14"/>
      <c r="D6" s="14"/>
      <c r="E6" s="14"/>
      <c r="F6" s="14"/>
      <c r="G6" s="15"/>
      <c r="H6" s="12" t="s">
        <v>87</v>
      </c>
      <c r="J6" s="13"/>
      <c r="K6" s="14"/>
      <c r="L6" s="14"/>
      <c r="M6" s="14"/>
      <c r="N6" s="14"/>
      <c r="O6" s="14"/>
      <c r="P6" s="15"/>
    </row>
    <row r="7" s="1" customFormat="1" customHeight="1" spans="1:16">
      <c r="A7" s="16" t="s">
        <v>22</v>
      </c>
      <c r="B7" s="17"/>
      <c r="C7" s="17"/>
      <c r="D7" s="17"/>
      <c r="E7" s="17"/>
      <c r="F7" s="17"/>
      <c r="G7" s="18"/>
    </row>
    <row r="8" s="1" customFormat="1" ht="43" customHeight="1" spans="1:16">
      <c r="A8" s="30"/>
      <c r="B8" s="31"/>
      <c r="C8" s="31"/>
      <c r="D8" s="31"/>
      <c r="E8" s="31"/>
      <c r="F8" s="31"/>
      <c r="G8" s="32"/>
      <c r="H8" s="12" t="s">
        <v>88</v>
      </c>
    </row>
    <row r="9" s="1" customFormat="1" ht="25.05" customHeight="1" spans="1:16">
      <c r="A9" s="9" t="s">
        <v>24</v>
      </c>
      <c r="B9" s="10"/>
      <c r="C9" s="10"/>
      <c r="D9" s="10"/>
      <c r="E9" s="10"/>
      <c r="F9" s="10"/>
      <c r="G9" s="11"/>
    </row>
    <row r="10" s="1" customFormat="1" ht="26" customHeight="1" spans="1:16">
      <c r="A10" s="22" t="s">
        <v>25</v>
      </c>
      <c r="B10" s="23"/>
      <c r="C10" s="23"/>
      <c r="D10" s="23"/>
      <c r="E10" s="23"/>
      <c r="F10" s="23"/>
      <c r="G10" s="24"/>
    </row>
    <row r="11" s="1" customFormat="1" ht="22" customHeight="1" spans="1:16">
      <c r="A11" s="25" t="s">
        <v>26</v>
      </c>
      <c r="B11" s="26"/>
      <c r="C11" s="26"/>
      <c r="D11" s="26"/>
      <c r="E11" s="26"/>
      <c r="F11" s="26"/>
      <c r="G11" s="27"/>
    </row>
    <row r="12" s="1" customFormat="1" ht="77" customHeight="1" spans="1:16">
      <c r="A12" s="33"/>
      <c r="B12" s="33"/>
      <c r="C12" s="33"/>
      <c r="D12" s="33"/>
      <c r="E12" s="33"/>
      <c r="F12" s="33"/>
      <c r="G12" s="33"/>
    </row>
    <row r="13" s="1" customFormat="1" ht="27" customHeight="1"/>
  </sheetData>
  <mergeCells count="11">
    <mergeCell ref="A1:G1"/>
    <mergeCell ref="E2:F2"/>
    <mergeCell ref="A5:G5"/>
    <mergeCell ref="A6:G6"/>
    <mergeCell ref="J6:P6"/>
    <mergeCell ref="B7:G7"/>
    <mergeCell ref="A8:G8"/>
    <mergeCell ref="A9:G9"/>
    <mergeCell ref="A10:G10"/>
    <mergeCell ref="A11:G11"/>
    <mergeCell ref="A12:G12"/>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13"/>
  <sheetViews>
    <sheetView topLeftCell="A2" workbookViewId="0">
      <selection activeCell="H6" sqref="H6"/>
    </sheetView>
  </sheetViews>
  <sheetFormatPr defaultColWidth="9.81818181818182" defaultRowHeight="15"/>
  <cols>
    <col min="1" max="1" width="24.2181818181818" style="1" customWidth="1"/>
    <col min="2" max="2" width="20.5090909090909" style="1" customWidth="1"/>
    <col min="3" max="3" width="10.9090909090909" style="1" customWidth="1"/>
    <col min="4" max="4" width="8.03636363636364" style="1" customWidth="1"/>
    <col min="5" max="5" width="6.32727272727273" style="1" customWidth="1"/>
    <col min="6" max="6" width="10.4727272727273" style="1" customWidth="1"/>
    <col min="7" max="7" width="6.98181818181818" style="1" customWidth="1"/>
    <col min="8" max="8" width="50.3090909090909" style="1" customWidth="1"/>
    <col min="9" max="9" width="9.81818181818182" style="1"/>
    <col min="10" max="16" width="9.81818181818182" style="1" customWidth="1"/>
    <col min="17" max="16384" width="9.81818181818182" style="1"/>
  </cols>
  <sheetData>
    <row r="1" s="1" customFormat="1" ht="43.05" customHeight="1" spans="1:16">
      <c r="A1" s="3" t="s">
        <v>5</v>
      </c>
      <c r="B1" s="3"/>
      <c r="C1" s="3"/>
      <c r="D1" s="3"/>
      <c r="E1" s="3"/>
      <c r="F1" s="3"/>
      <c r="G1" s="3"/>
    </row>
    <row r="2" s="1" customFormat="1" ht="33" customHeight="1" spans="1:16">
      <c r="A2" s="4" t="s">
        <v>6</v>
      </c>
      <c r="B2" s="4" t="s">
        <v>7</v>
      </c>
      <c r="C2" s="4"/>
      <c r="D2" s="4"/>
      <c r="E2" s="5" t="s">
        <v>8</v>
      </c>
      <c r="F2" s="5"/>
      <c r="G2" s="6"/>
    </row>
    <row r="3" s="1" customFormat="1" ht="33" customHeight="1" spans="1:16">
      <c r="A3" s="4" t="s">
        <v>9</v>
      </c>
      <c r="B3" s="4" t="s">
        <v>10</v>
      </c>
      <c r="C3" s="4" t="s">
        <v>11</v>
      </c>
      <c r="D3" s="4" t="s">
        <v>12</v>
      </c>
      <c r="E3" s="4" t="s">
        <v>13</v>
      </c>
      <c r="F3" s="7">
        <v>46128</v>
      </c>
      <c r="G3" s="4" t="s">
        <v>14</v>
      </c>
    </row>
    <row r="4" s="1" customFormat="1" ht="33" customHeight="1" spans="1:16">
      <c r="A4" s="4" t="s">
        <v>15</v>
      </c>
      <c r="B4" s="4" t="s">
        <v>16</v>
      </c>
      <c r="C4" s="4" t="s">
        <v>17</v>
      </c>
      <c r="D4" s="8" t="s">
        <v>18</v>
      </c>
      <c r="E4" s="4" t="s">
        <v>13</v>
      </c>
      <c r="F4" s="7">
        <f>F3+1</f>
        <v>46129</v>
      </c>
      <c r="G4" s="4" t="s">
        <v>19</v>
      </c>
    </row>
    <row r="5" s="1" customFormat="1" ht="33" customHeight="1" spans="1:16">
      <c r="A5" s="9" t="s">
        <v>39</v>
      </c>
      <c r="B5" s="10"/>
      <c r="C5" s="10"/>
      <c r="D5" s="10"/>
      <c r="E5" s="10"/>
      <c r="F5" s="10"/>
      <c r="G5" s="11"/>
      <c r="H5" s="12" t="s">
        <v>89</v>
      </c>
    </row>
    <row r="6" s="1" customFormat="1" ht="184" customHeight="1" spans="1:16">
      <c r="A6" s="13"/>
      <c r="B6" s="14"/>
      <c r="C6" s="14"/>
      <c r="D6" s="14"/>
      <c r="E6" s="14"/>
      <c r="F6" s="14"/>
      <c r="G6" s="15"/>
      <c r="H6" s="12" t="s">
        <v>90</v>
      </c>
      <c r="J6" s="13"/>
      <c r="K6" s="14"/>
      <c r="L6" s="14"/>
      <c r="M6" s="14"/>
      <c r="N6" s="14"/>
      <c r="O6" s="14"/>
      <c r="P6" s="15"/>
    </row>
    <row r="7" s="1" customFormat="1" customHeight="1" spans="1:16">
      <c r="A7" s="16" t="s">
        <v>22</v>
      </c>
      <c r="B7" s="17"/>
      <c r="C7" s="17"/>
      <c r="D7" s="17"/>
      <c r="E7" s="17"/>
      <c r="F7" s="17"/>
      <c r="G7" s="18"/>
    </row>
    <row r="8" s="1" customFormat="1" ht="77" customHeight="1" spans="1:16">
      <c r="A8" s="19" t="s">
        <v>71</v>
      </c>
      <c r="B8" s="20"/>
      <c r="C8" s="20"/>
      <c r="D8" s="20"/>
      <c r="E8" s="20"/>
      <c r="F8" s="20"/>
      <c r="G8" s="21"/>
      <c r="H8" s="12" t="s">
        <v>91</v>
      </c>
    </row>
    <row r="9" s="1" customFormat="1" ht="25.05" customHeight="1" spans="1:16">
      <c r="A9" s="9" t="s">
        <v>24</v>
      </c>
      <c r="B9" s="10"/>
      <c r="C9" s="10"/>
      <c r="D9" s="10"/>
      <c r="E9" s="10"/>
      <c r="F9" s="10"/>
      <c r="G9" s="11"/>
    </row>
    <row r="10" s="1" customFormat="1" ht="26" customHeight="1" spans="1:16">
      <c r="A10" s="22" t="s">
        <v>25</v>
      </c>
      <c r="B10" s="23"/>
      <c r="C10" s="23"/>
      <c r="D10" s="23"/>
      <c r="E10" s="23"/>
      <c r="F10" s="23"/>
      <c r="G10" s="24"/>
    </row>
    <row r="11" s="1" customFormat="1" ht="22" customHeight="1" spans="1:16">
      <c r="A11" s="25" t="s">
        <v>26</v>
      </c>
      <c r="B11" s="26"/>
      <c r="C11" s="26"/>
      <c r="D11" s="26"/>
      <c r="E11" s="26"/>
      <c r="F11" s="26"/>
      <c r="G11" s="27"/>
    </row>
    <row r="12" s="2" customFormat="1" ht="89" customHeight="1" spans="1:16">
      <c r="A12" s="28"/>
      <c r="B12" s="28"/>
      <c r="C12" s="28"/>
      <c r="D12" s="28"/>
      <c r="E12" s="28"/>
      <c r="F12" s="28"/>
      <c r="G12" s="28"/>
    </row>
    <row r="13" s="2" customFormat="1" ht="43" customHeight="1" spans="1:16">
      <c r="A13" s="29"/>
      <c r="B13" s="29"/>
      <c r="C13" s="29"/>
      <c r="D13" s="29"/>
      <c r="E13" s="29"/>
      <c r="F13" s="29"/>
      <c r="G13" s="29"/>
    </row>
  </sheetData>
  <mergeCells count="12">
    <mergeCell ref="A1:G1"/>
    <mergeCell ref="E2:F2"/>
    <mergeCell ref="A5:G5"/>
    <mergeCell ref="A6:G6"/>
    <mergeCell ref="J6:P6"/>
    <mergeCell ref="B7:G7"/>
    <mergeCell ref="A8:G8"/>
    <mergeCell ref="A9:G9"/>
    <mergeCell ref="A10:G10"/>
    <mergeCell ref="A11:G11"/>
    <mergeCell ref="A12:G12"/>
    <mergeCell ref="A13:G13"/>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问题清单</vt:lpstr>
      <vt:lpstr>1.内部控制管理方面</vt:lpstr>
      <vt:lpstr>2.预算编报方面</vt:lpstr>
      <vt:lpstr>3.采购管理</vt:lpstr>
      <vt:lpstr>4.采购管理执行S</vt:lpstr>
      <vt:lpstr>5.资产管理方面</vt:lpstr>
      <vt:lpstr>6.财务管理方面</vt:lpstr>
      <vt:lpstr>7.财务管理方面 S</vt:lpstr>
      <vt:lpstr>8.往来款挂账</vt:lpstr>
      <vt:lpstr>9.库存酒水清理S</vt:lpstr>
      <vt:lpstr>10.会计基础工作S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63088</dc:creator>
  <cp:lastModifiedBy>jdarray</cp:lastModifiedBy>
  <dcterms:created xsi:type="dcterms:W3CDTF">2026-03-17T02:34:00Z</dcterms:created>
  <dcterms:modified xsi:type="dcterms:W3CDTF">2026-06-01T08:12:17Z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B03C2BC0964A4848BD08685D5A9FD307_11</vt:lpwstr>
  </property>
  <property fmtid="{D5CDD505-2E9C-101B-9397-08002B2CF9AE}" pid="3" name="KSOProductBuildVer">
    <vt:lpwstr>2052-12.1.0.26375</vt:lpwstr>
  </property>
  <property fmtid="{D5CDD505-2E9C-101B-9397-08002B2CF9AE}" pid="4" name="CalculationRule">
    <vt:i4>1</vt:i4>
  </property>
</Properties>
</file>